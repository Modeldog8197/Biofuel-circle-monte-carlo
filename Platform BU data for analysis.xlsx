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ofuelcircle-my.sharepoint.com/personal/atreyeesaha_biofuelcircle_com/Documents/Documents/"/>
    </mc:Choice>
  </mc:AlternateContent>
  <xr:revisionPtr revIDLastSave="0" documentId="8_{2076DE13-D029-498E-984D-B776075E8CCE}" xr6:coauthVersionLast="47" xr6:coauthVersionMax="47" xr10:uidLastSave="{00000000-0000-0000-0000-000000000000}"/>
  <bookViews>
    <workbookView xWindow="-108" yWindow="-108" windowWidth="23256" windowHeight="12456" xr2:uid="{55C33743-58BE-4F3C-8AAE-77CB83B7F53B}"/>
  </bookViews>
  <sheets>
    <sheet name="Trends data" sheetId="1" r:id="rId1"/>
  </sheets>
  <externalReferences>
    <externalReference r:id="rId2"/>
    <externalReference r:id="rId3"/>
  </externalReferences>
  <definedNames>
    <definedName name="DealData">#REF!</definedName>
    <definedName name="Last12m_End">#REF!</definedName>
    <definedName name="LastMonth_End">#REF!</definedName>
    <definedName name="LastQtr_End">#REF!</definedName>
    <definedName name="Select_State">#REF!</definedName>
    <definedName name="Tabley">#REF!</definedName>
    <definedName name="ThisQtr_End">#REF!</definedName>
    <definedName name="ThisQtr_Start">#REF!</definedName>
    <definedName name="Transport_Credit_Offer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R25" i="1" l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AM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AM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AM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AR32" i="1"/>
  <c r="AQ32" i="1"/>
  <c r="AM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AM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AR29" i="1"/>
  <c r="AP29" i="1"/>
  <c r="AO29" i="1"/>
  <c r="AL29" i="1"/>
  <c r="H29" i="1"/>
  <c r="AM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AM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AQ26" i="1"/>
  <c r="AQ29" i="1" s="1"/>
  <c r="AM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AR20" i="1"/>
  <c r="AQ20" i="1"/>
  <c r="AP20" i="1"/>
  <c r="AR19" i="1"/>
  <c r="AQ19" i="1"/>
  <c r="AP19" i="1"/>
  <c r="AO19" i="1"/>
  <c r="AL19" i="1"/>
  <c r="AR18" i="1"/>
  <c r="AQ18" i="1"/>
  <c r="AP18" i="1"/>
  <c r="AO18" i="1"/>
  <c r="AL18" i="1"/>
  <c r="AR17" i="1"/>
  <c r="AQ17" i="1"/>
  <c r="AP17" i="1"/>
  <c r="AO17" i="1"/>
  <c r="AL17" i="1"/>
  <c r="AK16" i="1"/>
  <c r="AJ16" i="1"/>
  <c r="AI16" i="1"/>
  <c r="AH16" i="1"/>
  <c r="AG16" i="1"/>
  <c r="AF16" i="1"/>
  <c r="AE16" i="1"/>
  <c r="AD16" i="1"/>
  <c r="AC16" i="1"/>
  <c r="AB16" i="1"/>
  <c r="X16" i="1"/>
  <c r="V16" i="1"/>
  <c r="U16" i="1"/>
  <c r="T16" i="1"/>
  <c r="AM15" i="1"/>
  <c r="AM19" i="1" s="1"/>
  <c r="AK15" i="1"/>
  <c r="AK19" i="1" s="1"/>
  <c r="AJ15" i="1"/>
  <c r="AJ19" i="1" s="1"/>
  <c r="AI15" i="1"/>
  <c r="AH15" i="1"/>
  <c r="AH19" i="1" s="1"/>
  <c r="AG15" i="1"/>
  <c r="AF15" i="1"/>
  <c r="AE15" i="1"/>
  <c r="AE19" i="1" s="1"/>
  <c r="AD15" i="1"/>
  <c r="AC15" i="1"/>
  <c r="AB15" i="1"/>
  <c r="AA15" i="1"/>
  <c r="AA19" i="1" s="1"/>
  <c r="Z15" i="1"/>
  <c r="Y15" i="1"/>
  <c r="X15" i="1"/>
  <c r="X19" i="1" s="1"/>
  <c r="W15" i="1"/>
  <c r="V15" i="1"/>
  <c r="V19" i="1" s="1"/>
  <c r="U15" i="1"/>
  <c r="T15" i="1"/>
  <c r="S15" i="1"/>
  <c r="S19" i="1" s="1"/>
  <c r="R15" i="1"/>
  <c r="Q15" i="1"/>
  <c r="P15" i="1"/>
  <c r="O15" i="1"/>
  <c r="O19" i="1" s="1"/>
  <c r="N15" i="1"/>
  <c r="N19" i="1" s="1"/>
  <c r="M15" i="1"/>
  <c r="L15" i="1"/>
  <c r="K15" i="1"/>
  <c r="K19" i="1" s="1"/>
  <c r="J15" i="1"/>
  <c r="J19" i="1" s="1"/>
  <c r="I15" i="1"/>
  <c r="H15" i="1"/>
  <c r="G15" i="1"/>
  <c r="G19" i="1" s="1"/>
  <c r="F15" i="1"/>
  <c r="E15" i="1"/>
  <c r="D15" i="1"/>
  <c r="C15" i="1"/>
  <c r="C19" i="1" s="1"/>
  <c r="B15" i="1"/>
  <c r="B19" i="1" s="1"/>
  <c r="AM14" i="1"/>
  <c r="AM18" i="1" s="1"/>
  <c r="AK14" i="1"/>
  <c r="AK18" i="1" s="1"/>
  <c r="AJ14" i="1"/>
  <c r="AJ18" i="1" s="1"/>
  <c r="AI14" i="1"/>
  <c r="AI18" i="1" s="1"/>
  <c r="AH14" i="1"/>
  <c r="AH18" i="1" s="1"/>
  <c r="AG14" i="1"/>
  <c r="AG18" i="1" s="1"/>
  <c r="AF14" i="1"/>
  <c r="AF18" i="1" s="1"/>
  <c r="AE14" i="1"/>
  <c r="AD14" i="1"/>
  <c r="AD18" i="1" s="1"/>
  <c r="AC14" i="1"/>
  <c r="AC18" i="1" s="1"/>
  <c r="AB14" i="1"/>
  <c r="AB18" i="1" s="1"/>
  <c r="AA14" i="1"/>
  <c r="AA18" i="1" s="1"/>
  <c r="Z14" i="1"/>
  <c r="Z18" i="1" s="1"/>
  <c r="Y14" i="1"/>
  <c r="Y18" i="1" s="1"/>
  <c r="X14" i="1"/>
  <c r="X18" i="1" s="1"/>
  <c r="W14" i="1"/>
  <c r="W18" i="1" s="1"/>
  <c r="V14" i="1"/>
  <c r="V18" i="1" s="1"/>
  <c r="U14" i="1"/>
  <c r="U18" i="1" s="1"/>
  <c r="T14" i="1"/>
  <c r="T18" i="1" s="1"/>
  <c r="S14" i="1"/>
  <c r="R14" i="1"/>
  <c r="R18" i="1" s="1"/>
  <c r="Q14" i="1"/>
  <c r="Q18" i="1" s="1"/>
  <c r="P14" i="1"/>
  <c r="P18" i="1" s="1"/>
  <c r="O14" i="1"/>
  <c r="O18" i="1" s="1"/>
  <c r="N14" i="1"/>
  <c r="N18" i="1" s="1"/>
  <c r="M14" i="1"/>
  <c r="M18" i="1" s="1"/>
  <c r="L14" i="1"/>
  <c r="L18" i="1" s="1"/>
  <c r="K14" i="1"/>
  <c r="K18" i="1" s="1"/>
  <c r="J14" i="1"/>
  <c r="J18" i="1" s="1"/>
  <c r="I14" i="1"/>
  <c r="I18" i="1" s="1"/>
  <c r="H14" i="1"/>
  <c r="H18" i="1" s="1"/>
  <c r="G14" i="1"/>
  <c r="F14" i="1"/>
  <c r="F18" i="1" s="1"/>
  <c r="E14" i="1"/>
  <c r="E18" i="1" s="1"/>
  <c r="D14" i="1"/>
  <c r="D18" i="1" s="1"/>
  <c r="C14" i="1"/>
  <c r="C18" i="1" s="1"/>
  <c r="B14" i="1"/>
  <c r="B18" i="1" s="1"/>
  <c r="AQ13" i="1"/>
  <c r="AP13" i="1"/>
  <c r="AO13" i="1"/>
  <c r="AM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R10" i="1"/>
  <c r="AR12" i="1" s="1"/>
  <c r="AQ10" i="1"/>
  <c r="AQ21" i="1" s="1"/>
  <c r="AP10" i="1"/>
  <c r="AP21" i="1" s="1"/>
  <c r="AO10" i="1"/>
  <c r="AO12" i="1" s="1"/>
  <c r="AL10" i="1"/>
  <c r="AL21" i="1" s="1"/>
  <c r="AR9" i="1"/>
  <c r="AR11" i="1" s="1"/>
  <c r="AQ9" i="1"/>
  <c r="AQ11" i="1" s="1"/>
  <c r="AP9" i="1"/>
  <c r="AP11" i="1" s="1"/>
  <c r="AO9" i="1"/>
  <c r="AO11" i="1" s="1"/>
  <c r="AL9" i="1"/>
  <c r="AL11" i="1" s="1"/>
  <c r="AN8" i="1"/>
  <c r="AN10" i="1" s="1"/>
  <c r="AM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AM7" i="1"/>
  <c r="AK7" i="1"/>
  <c r="AJ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M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M5" i="1"/>
  <c r="AK5" i="1"/>
  <c r="AJ5" i="1"/>
  <c r="AI5" i="1"/>
  <c r="AI10" i="1" s="1"/>
  <c r="AI12" i="1" s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M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M3" i="1"/>
  <c r="AK3" i="1"/>
  <c r="AJ3" i="1"/>
  <c r="AH3" i="1"/>
  <c r="AG3" i="1"/>
  <c r="AF3" i="1"/>
  <c r="AE3" i="1"/>
  <c r="AD3" i="1"/>
  <c r="AC3" i="1"/>
  <c r="AB3" i="1"/>
  <c r="AA3" i="1"/>
  <c r="Z3" i="1"/>
  <c r="Y3" i="1"/>
  <c r="X3" i="1"/>
  <c r="W3" i="1"/>
  <c r="W10" i="1" s="1"/>
  <c r="W12" i="1" s="1"/>
  <c r="V3" i="1"/>
  <c r="U3" i="1"/>
  <c r="T3" i="1"/>
  <c r="S3" i="1"/>
  <c r="R3" i="1"/>
  <c r="Q3" i="1"/>
  <c r="P3" i="1"/>
  <c r="O3" i="1"/>
  <c r="N3" i="1"/>
  <c r="M3" i="1"/>
  <c r="L3" i="1"/>
  <c r="K3" i="1"/>
  <c r="K10" i="1" s="1"/>
  <c r="K12" i="1" s="1"/>
  <c r="J3" i="1"/>
  <c r="I3" i="1"/>
  <c r="H3" i="1"/>
  <c r="G3" i="1"/>
  <c r="F3" i="1"/>
  <c r="E3" i="1"/>
  <c r="D3" i="1"/>
  <c r="C3" i="1"/>
  <c r="B3" i="1"/>
  <c r="AM2" i="1"/>
  <c r="AK2" i="1"/>
  <c r="AJ2" i="1"/>
  <c r="AI2" i="1"/>
  <c r="AI9" i="1" s="1"/>
  <c r="AI11" i="1" s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K9" i="1" s="1"/>
  <c r="K11" i="1" s="1"/>
  <c r="J2" i="1"/>
  <c r="I2" i="1"/>
  <c r="H2" i="1"/>
  <c r="G2" i="1"/>
  <c r="F2" i="1"/>
  <c r="E2" i="1"/>
  <c r="D2" i="1"/>
  <c r="C2" i="1"/>
  <c r="B2" i="1"/>
  <c r="E9" i="1" l="1"/>
  <c r="E11" i="1" s="1"/>
  <c r="D10" i="1"/>
  <c r="D12" i="1" s="1"/>
  <c r="P10" i="1"/>
  <c r="P12" i="1" s="1"/>
  <c r="AB10" i="1"/>
  <c r="AB12" i="1" s="1"/>
  <c r="N10" i="1"/>
  <c r="N12" i="1" s="1"/>
  <c r="N9" i="1"/>
  <c r="N11" i="1" s="1"/>
  <c r="AM9" i="1"/>
  <c r="AM11" i="1" s="1"/>
  <c r="M10" i="1"/>
  <c r="M23" i="1" s="1"/>
  <c r="M24" i="1" s="1"/>
  <c r="Y10" i="1"/>
  <c r="Y12" i="1" s="1"/>
  <c r="AM10" i="1"/>
  <c r="AM12" i="1" s="1"/>
  <c r="T10" i="1"/>
  <c r="T12" i="1" s="1"/>
  <c r="M29" i="1"/>
  <c r="AL12" i="1"/>
  <c r="Y20" i="1"/>
  <c r="I9" i="1"/>
  <c r="I11" i="1" s="1"/>
  <c r="N20" i="1"/>
  <c r="I10" i="1"/>
  <c r="I12" i="1" s="1"/>
  <c r="U10" i="1"/>
  <c r="U12" i="1" s="1"/>
  <c r="AG10" i="1"/>
  <c r="AG12" i="1" s="1"/>
  <c r="AP23" i="1"/>
  <c r="AP24" i="1" s="1"/>
  <c r="AQ23" i="1"/>
  <c r="AQ24" i="1" s="1"/>
  <c r="X9" i="1"/>
  <c r="X11" i="1" s="1"/>
  <c r="AJ9" i="1"/>
  <c r="AJ11" i="1" s="1"/>
  <c r="AJ10" i="1"/>
  <c r="AJ12" i="1" s="1"/>
  <c r="L9" i="1"/>
  <c r="L11" i="1" s="1"/>
  <c r="M9" i="1"/>
  <c r="M11" i="1" s="1"/>
  <c r="M17" i="1"/>
  <c r="AR23" i="1"/>
  <c r="AR24" i="1" s="1"/>
  <c r="O10" i="1"/>
  <c r="O12" i="1" s="1"/>
  <c r="N17" i="1"/>
  <c r="AH20" i="1"/>
  <c r="AJ17" i="1"/>
  <c r="AL20" i="1"/>
  <c r="M21" i="1"/>
  <c r="M12" i="1"/>
  <c r="P29" i="1"/>
  <c r="O9" i="1"/>
  <c r="O11" i="1" s="1"/>
  <c r="K23" i="1"/>
  <c r="K24" i="1" s="1"/>
  <c r="AI23" i="1"/>
  <c r="AI24" i="1" s="1"/>
  <c r="B17" i="1"/>
  <c r="AR21" i="1"/>
  <c r="E10" i="1"/>
  <c r="E12" i="1" s="1"/>
  <c r="Q10" i="1"/>
  <c r="Q12" i="1" s="1"/>
  <c r="AC10" i="1"/>
  <c r="AC12" i="1" s="1"/>
  <c r="C17" i="1"/>
  <c r="AI20" i="1"/>
  <c r="AB29" i="1"/>
  <c r="AA10" i="1"/>
  <c r="AA12" i="1" s="1"/>
  <c r="K17" i="1"/>
  <c r="L19" i="1"/>
  <c r="AI17" i="1"/>
  <c r="Y29" i="1"/>
  <c r="C10" i="1"/>
  <c r="C12" i="1" s="1"/>
  <c r="W23" i="1"/>
  <c r="W24" i="1" s="1"/>
  <c r="E17" i="1"/>
  <c r="H9" i="1"/>
  <c r="H11" i="1" s="1"/>
  <c r="T9" i="1"/>
  <c r="T11" i="1" s="1"/>
  <c r="AF9" i="1"/>
  <c r="AF11" i="1" s="1"/>
  <c r="G10" i="1"/>
  <c r="G12" i="1" s="1"/>
  <c r="S10" i="1"/>
  <c r="S21" i="1" s="1"/>
  <c r="AE10" i="1"/>
  <c r="AE12" i="1" s="1"/>
  <c r="AL23" i="1"/>
  <c r="AL24" i="1" s="1"/>
  <c r="J20" i="1"/>
  <c r="L17" i="1"/>
  <c r="M19" i="1"/>
  <c r="I29" i="1"/>
  <c r="W19" i="1"/>
  <c r="X17" i="1"/>
  <c r="AK17" i="1"/>
  <c r="AK20" i="1"/>
  <c r="Y19" i="1"/>
  <c r="Z17" i="1"/>
  <c r="AA17" i="1"/>
  <c r="AA9" i="1"/>
  <c r="AA11" i="1" s="1"/>
  <c r="AP12" i="1"/>
  <c r="U9" i="1"/>
  <c r="U11" i="1" s="1"/>
  <c r="AG9" i="1"/>
  <c r="AG11" i="1" s="1"/>
  <c r="H10" i="1"/>
  <c r="H12" i="1" s="1"/>
  <c r="AF10" i="1"/>
  <c r="AF12" i="1" s="1"/>
  <c r="K20" i="1"/>
  <c r="R10" i="1"/>
  <c r="R21" i="1" s="1"/>
  <c r="S29" i="1"/>
  <c r="P23" i="1"/>
  <c r="P24" i="1" s="1"/>
  <c r="AF29" i="1"/>
  <c r="AG29" i="1"/>
  <c r="AH10" i="1"/>
  <c r="AH12" i="1" s="1"/>
  <c r="AH9" i="1"/>
  <c r="AH11" i="1" s="1"/>
  <c r="AH29" i="1"/>
  <c r="Y9" i="1"/>
  <c r="Y11" i="1" s="1"/>
  <c r="AK9" i="1"/>
  <c r="AK11" i="1" s="1"/>
  <c r="L10" i="1"/>
  <c r="L12" i="1" s="1"/>
  <c r="X10" i="1"/>
  <c r="X12" i="1" s="1"/>
  <c r="AK10" i="1"/>
  <c r="AK23" i="1" s="1"/>
  <c r="AK24" i="1" s="1"/>
  <c r="AO23" i="1"/>
  <c r="AO24" i="1" s="1"/>
  <c r="Y17" i="1"/>
  <c r="P21" i="1"/>
  <c r="U29" i="1"/>
  <c r="F10" i="1"/>
  <c r="F12" i="1" s="1"/>
  <c r="Q29" i="1"/>
  <c r="AB23" i="1"/>
  <c r="AB24" i="1" s="1"/>
  <c r="T29" i="1"/>
  <c r="W9" i="1"/>
  <c r="W11" i="1" s="1"/>
  <c r="V10" i="1"/>
  <c r="V12" i="1" s="1"/>
  <c r="V9" i="1"/>
  <c r="V11" i="1" s="1"/>
  <c r="V29" i="1"/>
  <c r="M20" i="1"/>
  <c r="AD10" i="1"/>
  <c r="AD12" i="1" s="1"/>
  <c r="AE29" i="1"/>
  <c r="W17" i="1"/>
  <c r="J10" i="1"/>
  <c r="J12" i="1" s="1"/>
  <c r="J9" i="1"/>
  <c r="J11" i="1" s="1"/>
  <c r="J29" i="1"/>
  <c r="C9" i="1"/>
  <c r="C11" i="1" s="1"/>
  <c r="B10" i="1"/>
  <c r="B12" i="1" s="1"/>
  <c r="Z10" i="1"/>
  <c r="Z23" i="1" s="1"/>
  <c r="Z24" i="1" s="1"/>
  <c r="B9" i="1"/>
  <c r="B11" i="1" s="1"/>
  <c r="Z9" i="1"/>
  <c r="Z11" i="1" s="1"/>
  <c r="O17" i="1"/>
  <c r="AI19" i="1"/>
  <c r="AK29" i="1"/>
  <c r="D9" i="1"/>
  <c r="D11" i="1" s="1"/>
  <c r="P9" i="1"/>
  <c r="P11" i="1" s="1"/>
  <c r="AB9" i="1"/>
  <c r="AB11" i="1" s="1"/>
  <c r="F20" i="1"/>
  <c r="R20" i="1"/>
  <c r="AD20" i="1"/>
  <c r="AB21" i="1"/>
  <c r="G20" i="1"/>
  <c r="I20" i="1"/>
  <c r="H19" i="1"/>
  <c r="H17" i="1"/>
  <c r="U20" i="1"/>
  <c r="T19" i="1"/>
  <c r="T17" i="1"/>
  <c r="AG20" i="1"/>
  <c r="AF19" i="1"/>
  <c r="AF17" i="1"/>
  <c r="K29" i="1"/>
  <c r="AG19" i="1"/>
  <c r="AG17" i="1"/>
  <c r="Q19" i="1"/>
  <c r="L29" i="1"/>
  <c r="AI21" i="1"/>
  <c r="Q9" i="1"/>
  <c r="Q11" i="1" s="1"/>
  <c r="AC9" i="1"/>
  <c r="AC11" i="1" s="1"/>
  <c r="E19" i="1"/>
  <c r="N29" i="1"/>
  <c r="S18" i="1"/>
  <c r="S17" i="1"/>
  <c r="AE18" i="1"/>
  <c r="AE17" i="1"/>
  <c r="H20" i="1"/>
  <c r="T20" i="1"/>
  <c r="AF20" i="1"/>
  <c r="AI29" i="1"/>
  <c r="U19" i="1"/>
  <c r="U17" i="1"/>
  <c r="AC17" i="1"/>
  <c r="X29" i="1"/>
  <c r="AD17" i="1"/>
  <c r="S20" i="1"/>
  <c r="K21" i="1"/>
  <c r="Z29" i="1"/>
  <c r="W20" i="1"/>
  <c r="F9" i="1"/>
  <c r="F11" i="1" s="1"/>
  <c r="R9" i="1"/>
  <c r="R11" i="1" s="1"/>
  <c r="AD9" i="1"/>
  <c r="AD11" i="1" s="1"/>
  <c r="D20" i="1"/>
  <c r="P20" i="1"/>
  <c r="O20" i="1"/>
  <c r="AA20" i="1"/>
  <c r="AB20" i="1"/>
  <c r="AO20" i="1"/>
  <c r="AM20" i="1"/>
  <c r="Q17" i="1"/>
  <c r="F19" i="1"/>
  <c r="Z20" i="1"/>
  <c r="AO21" i="1"/>
  <c r="AC29" i="1"/>
  <c r="O29" i="1"/>
  <c r="AA29" i="1"/>
  <c r="AC19" i="1"/>
  <c r="G18" i="1"/>
  <c r="G17" i="1"/>
  <c r="AD19" i="1"/>
  <c r="F17" i="1"/>
  <c r="W29" i="1"/>
  <c r="I19" i="1"/>
  <c r="I17" i="1"/>
  <c r="AJ29" i="1"/>
  <c r="R19" i="1"/>
  <c r="W21" i="1"/>
  <c r="V20" i="1"/>
  <c r="AM29" i="1"/>
  <c r="G9" i="1"/>
  <c r="G11" i="1" s="1"/>
  <c r="S9" i="1"/>
  <c r="S11" i="1" s="1"/>
  <c r="AE9" i="1"/>
  <c r="AE11" i="1" s="1"/>
  <c r="E20" i="1"/>
  <c r="Q20" i="1"/>
  <c r="AC20" i="1"/>
  <c r="R17" i="1"/>
  <c r="AM17" i="1"/>
  <c r="Z19" i="1"/>
  <c r="AE20" i="1"/>
  <c r="R29" i="1"/>
  <c r="AD29" i="1"/>
  <c r="AQ12" i="1"/>
  <c r="D17" i="1"/>
  <c r="P17" i="1"/>
  <c r="AB17" i="1"/>
  <c r="D19" i="1"/>
  <c r="P19" i="1"/>
  <c r="AB19" i="1"/>
  <c r="L20" i="1"/>
  <c r="X20" i="1"/>
  <c r="AJ20" i="1"/>
  <c r="J17" i="1"/>
  <c r="V17" i="1"/>
  <c r="AH17" i="1"/>
  <c r="D21" i="1" l="1"/>
  <c r="AM23" i="1"/>
  <c r="AM24" i="1" s="1"/>
  <c r="N23" i="1"/>
  <c r="N24" i="1" s="1"/>
  <c r="AM21" i="1"/>
  <c r="Y23" i="1"/>
  <c r="Y24" i="1" s="1"/>
  <c r="D23" i="1"/>
  <c r="D24" i="1" s="1"/>
  <c r="T23" i="1"/>
  <c r="T24" i="1" s="1"/>
  <c r="Y21" i="1"/>
  <c r="N21" i="1"/>
  <c r="V23" i="1"/>
  <c r="V24" i="1" s="1"/>
  <c r="T21" i="1"/>
  <c r="AC23" i="1"/>
  <c r="AC24" i="1" s="1"/>
  <c r="AJ21" i="1"/>
  <c r="H23" i="1"/>
  <c r="H24" i="1" s="1"/>
  <c r="AG23" i="1"/>
  <c r="AG24" i="1" s="1"/>
  <c r="AG21" i="1"/>
  <c r="H21" i="1"/>
  <c r="I23" i="1"/>
  <c r="I24" i="1" s="1"/>
  <c r="F21" i="1"/>
  <c r="U23" i="1"/>
  <c r="U24" i="1" s="1"/>
  <c r="I21" i="1"/>
  <c r="U21" i="1"/>
  <c r="O21" i="1"/>
  <c r="X22" i="1"/>
  <c r="N22" i="1"/>
  <c r="AE23" i="1"/>
  <c r="AE24" i="1" s="1"/>
  <c r="O23" i="1"/>
  <c r="O24" i="1" s="1"/>
  <c r="B21" i="1"/>
  <c r="K22" i="1"/>
  <c r="S23" i="1"/>
  <c r="S24" i="1" s="1"/>
  <c r="S12" i="1"/>
  <c r="AJ23" i="1"/>
  <c r="AJ24" i="1" s="1"/>
  <c r="G23" i="1"/>
  <c r="G24" i="1" s="1"/>
  <c r="Q23" i="1"/>
  <c r="Q24" i="1" s="1"/>
  <c r="I22" i="1"/>
  <c r="L22" i="1"/>
  <c r="R22" i="1"/>
  <c r="C21" i="1"/>
  <c r="C23" i="1"/>
  <c r="C24" i="1" s="1"/>
  <c r="AF23" i="1"/>
  <c r="AF24" i="1" s="1"/>
  <c r="T22" i="1"/>
  <c r="Q21" i="1"/>
  <c r="AC21" i="1"/>
  <c r="J23" i="1"/>
  <c r="J24" i="1" s="1"/>
  <c r="E23" i="1"/>
  <c r="E24" i="1" s="1"/>
  <c r="AA22" i="1"/>
  <c r="H22" i="1"/>
  <c r="S22" i="1"/>
  <c r="Q22" i="1"/>
  <c r="L21" i="1"/>
  <c r="AA23" i="1"/>
  <c r="AA24" i="1" s="1"/>
  <c r="AF21" i="1"/>
  <c r="R12" i="1"/>
  <c r="AE21" i="1"/>
  <c r="E21" i="1"/>
  <c r="AA21" i="1"/>
  <c r="R23" i="1"/>
  <c r="R24" i="1" s="1"/>
  <c r="G21" i="1"/>
  <c r="F23" i="1"/>
  <c r="F24" i="1" s="1"/>
  <c r="J22" i="1"/>
  <c r="AR22" i="1"/>
  <c r="AD21" i="1"/>
  <c r="AQ22" i="1"/>
  <c r="AH22" i="1"/>
  <c r="AH23" i="1"/>
  <c r="AH24" i="1" s="1"/>
  <c r="AC22" i="1"/>
  <c r="AG22" i="1"/>
  <c r="AK22" i="1"/>
  <c r="AH21" i="1"/>
  <c r="J21" i="1"/>
  <c r="X21" i="1"/>
  <c r="W22" i="1"/>
  <c r="L23" i="1"/>
  <c r="L24" i="1" s="1"/>
  <c r="P22" i="1"/>
  <c r="AI22" i="1"/>
  <c r="Z12" i="1"/>
  <c r="AM22" i="1"/>
  <c r="AD22" i="1"/>
  <c r="AO22" i="1"/>
  <c r="AK21" i="1"/>
  <c r="AK12" i="1"/>
  <c r="AJ22" i="1"/>
  <c r="AB22" i="1"/>
  <c r="V22" i="1"/>
  <c r="Y22" i="1"/>
  <c r="Z22" i="1"/>
  <c r="AE22" i="1"/>
  <c r="Z21" i="1"/>
  <c r="AL22" i="1"/>
  <c r="M22" i="1"/>
  <c r="V21" i="1"/>
  <c r="AD23" i="1"/>
  <c r="AD24" i="1" s="1"/>
  <c r="AF22" i="1"/>
  <c r="AP22" i="1"/>
  <c r="U22" i="1"/>
  <c r="O22" i="1"/>
  <c r="X23" i="1"/>
  <c r="X24" i="1" s="1"/>
</calcChain>
</file>

<file path=xl/sharedStrings.xml><?xml version="1.0" encoding="utf-8"?>
<sst xmlns="http://schemas.openxmlformats.org/spreadsheetml/2006/main" count="77" uniqueCount="77">
  <si>
    <t>Data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</si>
  <si>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</si>
  <si>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</si>
  <si>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</si>
  <si>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</si>
  <si>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</si>
  <si>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</si>
  <si>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</si>
  <si>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</si>
  <si>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</si>
  <si>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</si>
  <si>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</si>
  <si>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</si>
  <si>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</si>
  <si>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</si>
  <si>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</si>
  <si>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</si>
  <si>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</si>
  <si>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</si>
  <si>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</si>
  <si>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</si>
  <si>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</si>
  <si>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</si>
  <si>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</si>
  <si>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</si>
  <si>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</si>
  <si>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</si>
  <si>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</si>
  <si>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</si>
  <si>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</si>
  <si>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</si>
  <si>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</si>
  <si>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</si>
  <si>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</si>
  <si>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</si>
  <si>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</si>
  <si>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</si>
  <si>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</si>
  <si>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</si>
  <si>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</si>
  <si>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</si>
  <si>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</si>
  <si>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</si>
  <si>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</si>
  <si>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New Buy Trades (No)</t>
  </si>
  <si>
    <t>New Buy Trades (V)</t>
  </si>
  <si>
    <t>New Sell Trades (No)</t>
  </si>
  <si>
    <t>New Sell Trades (V)</t>
  </si>
  <si>
    <t>Manual Responses (No)</t>
  </si>
  <si>
    <t>Manual Responses (V)</t>
  </si>
  <si>
    <t>Farmer Deals</t>
  </si>
  <si>
    <t>Total Trades (No)</t>
  </si>
  <si>
    <t>Total Trades (V)</t>
  </si>
  <si>
    <t>No of Trades ARR (month)</t>
  </si>
  <si>
    <t>Trade Vol ARR (month)</t>
  </si>
  <si>
    <t>Open Interest</t>
  </si>
  <si>
    <t>Deals</t>
  </si>
  <si>
    <t>Deal Volume Industrial</t>
  </si>
  <si>
    <t>Deal Volume Supply Chain</t>
  </si>
  <si>
    <t>-</t>
  </si>
  <si>
    <t>Vol per Deal</t>
  </si>
  <si>
    <t>No of Deals (ARR)..month based</t>
  </si>
  <si>
    <t>Deal ARR (month based)</t>
  </si>
  <si>
    <t>Deal ARR (quarter based)</t>
  </si>
  <si>
    <t>Deal/ New trade ratio</t>
  </si>
  <si>
    <t>Trades Lost</t>
  </si>
  <si>
    <t>Market share</t>
  </si>
  <si>
    <t>Platform delivered Vol</t>
  </si>
  <si>
    <t>Biomass Bank deliveries</t>
  </si>
  <si>
    <t>Seller Delivered Volume</t>
  </si>
  <si>
    <t>Pass through Volume</t>
  </si>
  <si>
    <t>Unique participants</t>
  </si>
  <si>
    <t>Successful Participants</t>
  </si>
  <si>
    <t>Farmer Delivery Count</t>
  </si>
  <si>
    <t>Rural Warehouse In</t>
  </si>
  <si>
    <t>Rural Warehouse Out</t>
  </si>
  <si>
    <t>Scheduled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</si>
</sst>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4" fillId="3" borderId="2" applyNumberFormat="0" applyAlignment="0" applyProtection="0"/>
  </cellStyleXfs>
  <cellXfs count="26">
    <xf numFmtId="0" fontId="0" fillId="0" borderId="0" xfId="0"/>
    <xf numFmtId="0" fontId="5" fillId="0" borderId="1" xfId="3" applyFont="1"/>
    <xf numFmtId="17" fontId="5" fillId="0" borderId="1" xfId="3" applyNumberFormat="1" applyFont="1"/>
    <xf numFmtId="17" fontId="5" fillId="0" borderId="1" xfId="3" applyNumberFormat="1" applyFont="1" applyFill="1"/>
    <xf numFmtId="0" fontId="6" fillId="0" borderId="0" xfId="0" applyFont="1"/>
    <xf numFmtId="164" fontId="0" fillId="0" borderId="0" xfId="1" applyNumberFormat="1" applyFont="1"/>
    <xf numFmtId="164" fontId="0" fillId="4" borderId="3" xfId="1" applyNumberFormat="1" applyFont="1" applyFill="1" applyBorder="1"/>
    <xf numFmtId="164" fontId="0" fillId="0" borderId="0" xfId="0" applyNumberFormat="1"/>
    <xf numFmtId="164" fontId="0" fillId="4" borderId="3" xfId="0" applyNumberFormat="1" applyFill="1" applyBorder="1"/>
    <xf numFmtId="164" fontId="3" fillId="2" borderId="2" xfId="4" applyNumberFormat="1"/>
    <xf numFmtId="0" fontId="3" fillId="2" borderId="2" xfId="4"/>
    <xf numFmtId="164" fontId="0" fillId="0" borderId="3" xfId="1" applyNumberFormat="1" applyFont="1" applyBorder="1"/>
    <xf numFmtId="164" fontId="0" fillId="0" borderId="3" xfId="0" applyNumberFormat="1" applyBorder="1"/>
    <xf numFmtId="0" fontId="4" fillId="3" borderId="2" xfId="5"/>
    <xf numFmtId="164" fontId="4" fillId="3" borderId="2" xfId="5" applyNumberFormat="1"/>
    <xf numFmtId="9" fontId="4" fillId="3" borderId="2" xfId="5" applyNumberFormat="1"/>
    <xf numFmtId="165" fontId="4" fillId="3" borderId="2" xfId="5" applyNumberFormat="1"/>
    <xf numFmtId="165" fontId="4" fillId="3" borderId="2" xfId="2" applyNumberFormat="1" applyFont="1" applyFill="1" applyBorder="1"/>
    <xf numFmtId="165" fontId="0" fillId="0" borderId="0" xfId="2" applyNumberFormat="1" applyFont="1"/>
    <xf numFmtId="9" fontId="4" fillId="3" borderId="2" xfId="2" applyFont="1" applyFill="1" applyBorder="1"/>
    <xf numFmtId="17" fontId="2" fillId="0" borderId="1" xfId="3" applyNumberFormat="1"/>
    <xf numFmtId="3" fontId="0" fillId="0" borderId="0" xfId="0" applyNumberFormat="1"/>
    <xf numFmtId="0" fontId="4" fillId="3" borderId="4" xfId="5" applyBorder="1"/>
    <xf numFmtId="164" fontId="4" fillId="3" borderId="4" xfId="5" applyNumberFormat="1" applyBorder="1"/>
    <xf numFmtId="0" fontId="0" fillId="0" borderId="0" xfId="0" applyBorder="1"/>
    <xf numFmtId="1" fontId="0" fillId="0" borderId="0" xfId="0" applyNumberFormat="1"/>
  </cellXfs>
  <cellStyles count="6">
    <cellStyle name="Calculation" xfId="5" builtinId="22"/>
    <cellStyle name="Comma" xfId="1" builtinId="3"/>
    <cellStyle name="Heading 3" xfId="3" builtinId="18"/>
    <cellStyle name="Input" xfId="4" builtinId="20"/>
    <cellStyle name="Normal" xfId="0" builtinId="0"/>
    <cellStyle name="Percent" xfId="2" builtinId="5"/>
  </cellStyles>
  <dxfs count="40"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border outline="0">
        <bottom style="medium">
          <color theme="4" tint="0.39997558519241921"/>
        </bottom>
      </border>
    </dxf>
    <dxf>
      <border outline="0">
        <bottom style="thin">
          <color rgb="FF7F7F7F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iofuelcircle.sharepoint.com/sites/Commercial/Shared%20Documents/Controller%20Reports/Platform%20Business%20Tracker.xlsx" TargetMode="External"/><Relationship Id="rId1" Type="http://schemas.openxmlformats.org/officeDocument/2006/relationships/externalLinkPath" Target="https://biofuelcircle.sharepoint.com/sites/Commercial/Shared%20Documents/Controller%20Reports/Platform%20Business%20Track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treyeeSaha\Downloads\scheduled_vs_delivered_2026-06-15T17_35_58.782260874+05_30.xlsx" TargetMode="External"/><Relationship Id="rId1" Type="http://schemas.openxmlformats.org/officeDocument/2006/relationships/externalLinkPath" Target="file:///C:\Users\AtreyeeSaha\Downloads\scheduled_vs_delivered_2026-06-15T17_35_58.782260874+05_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w Trades Trend"/>
      <sheetName val="Deals Trend"/>
      <sheetName val="Liquidity &amp; Market share"/>
      <sheetName val="Participation"/>
      <sheetName val="Pass through"/>
      <sheetName val="Farmer Deliveries"/>
      <sheetName val="Rural Warehousing"/>
      <sheetName val="Trends data"/>
      <sheetName val="202512 daily"/>
      <sheetName val="202511 daily"/>
      <sheetName val="202510 daily"/>
      <sheetName val="202509 daily"/>
      <sheetName val="202508 daily"/>
      <sheetName val="202507 daily"/>
      <sheetName val="202506 daily"/>
      <sheetName val="202505 daily"/>
      <sheetName val="202504 daily"/>
      <sheetName val="202503 daily  "/>
      <sheetName val="202502 daily  "/>
      <sheetName val="202501 daily "/>
      <sheetName val="202412 daily "/>
      <sheetName val="202411 daily"/>
      <sheetName val="202410 daily"/>
      <sheetName val="202409 daily"/>
      <sheetName val="202408 daily"/>
      <sheetName val="202407 daily"/>
      <sheetName val="202406 daily"/>
      <sheetName val="202405 daily"/>
      <sheetName val="202404 daily"/>
      <sheetName val="202403 daily"/>
      <sheetName val="202402 daily"/>
      <sheetName val="202401 daily "/>
      <sheetName val="202312 daily"/>
      <sheetName val="202311 daily"/>
      <sheetName val="202310 daily"/>
      <sheetName val="202309 daily"/>
      <sheetName val="202308 daily"/>
      <sheetName val="202307 daily"/>
      <sheetName val="202306 daily"/>
      <sheetName val="202305 daily"/>
      <sheetName val="202304 daily"/>
      <sheetName val="202303 daily"/>
      <sheetName val="202302 daily"/>
      <sheetName val="202301 daily"/>
      <sheetName val="202212 daily"/>
      <sheetName val="202211 daily"/>
      <sheetName val="202210 dai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H7">
            <v>474460</v>
          </cell>
          <cell r="I7">
            <v>311127</v>
          </cell>
        </row>
        <row r="15">
          <cell r="H15">
            <v>315380</v>
          </cell>
          <cell r="I15">
            <v>301172</v>
          </cell>
        </row>
        <row r="32">
          <cell r="G32">
            <v>60</v>
          </cell>
        </row>
      </sheetData>
      <sheetData sheetId="9">
        <row r="2">
          <cell r="G2">
            <v>475</v>
          </cell>
        </row>
        <row r="3">
          <cell r="G3">
            <v>434282</v>
          </cell>
        </row>
        <row r="6">
          <cell r="G6">
            <v>365420</v>
          </cell>
        </row>
        <row r="7">
          <cell r="G7">
            <v>250</v>
          </cell>
        </row>
        <row r="8">
          <cell r="G8">
            <v>335990</v>
          </cell>
        </row>
        <row r="14">
          <cell r="G14">
            <v>756950</v>
          </cell>
        </row>
        <row r="16">
          <cell r="G16">
            <v>229</v>
          </cell>
        </row>
        <row r="17">
          <cell r="G17">
            <v>26223</v>
          </cell>
        </row>
        <row r="18">
          <cell r="G18">
            <v>54</v>
          </cell>
        </row>
        <row r="19">
          <cell r="G19">
            <v>110</v>
          </cell>
        </row>
        <row r="20">
          <cell r="G20">
            <v>484</v>
          </cell>
        </row>
        <row r="21">
          <cell r="G21">
            <v>49756</v>
          </cell>
        </row>
        <row r="28">
          <cell r="G28">
            <v>0</v>
          </cell>
        </row>
        <row r="32">
          <cell r="G32">
            <v>0</v>
          </cell>
        </row>
        <row r="34">
          <cell r="G34">
            <v>0</v>
          </cell>
        </row>
        <row r="38">
          <cell r="G38">
            <v>2268</v>
          </cell>
        </row>
        <row r="41">
          <cell r="G41">
            <v>14817</v>
          </cell>
        </row>
        <row r="42">
          <cell r="G42">
            <v>55058</v>
          </cell>
        </row>
        <row r="43">
          <cell r="G43">
            <v>55058</v>
          </cell>
        </row>
        <row r="44">
          <cell r="G44">
            <v>6514</v>
          </cell>
        </row>
        <row r="53">
          <cell r="G53">
            <v>7602</v>
          </cell>
        </row>
        <row r="55">
          <cell r="G55">
            <v>3371</v>
          </cell>
        </row>
        <row r="58">
          <cell r="G58">
            <v>303</v>
          </cell>
        </row>
      </sheetData>
      <sheetData sheetId="10"/>
      <sheetData sheetId="11">
        <row r="2">
          <cell r="G2">
            <v>445</v>
          </cell>
        </row>
        <row r="3">
          <cell r="G3">
            <v>153356</v>
          </cell>
        </row>
        <row r="6">
          <cell r="G6">
            <v>718436</v>
          </cell>
        </row>
        <row r="7">
          <cell r="G7">
            <v>205</v>
          </cell>
        </row>
        <row r="8">
          <cell r="G8">
            <v>559077</v>
          </cell>
        </row>
        <row r="14">
          <cell r="G14">
            <v>1067405</v>
          </cell>
        </row>
        <row r="15">
          <cell r="G15">
            <v>236</v>
          </cell>
        </row>
        <row r="16">
          <cell r="G16">
            <v>20741</v>
          </cell>
        </row>
        <row r="17">
          <cell r="G17">
            <v>55</v>
          </cell>
        </row>
        <row r="18">
          <cell r="G18">
            <v>90</v>
          </cell>
        </row>
        <row r="20">
          <cell r="G20">
            <v>3273</v>
          </cell>
        </row>
        <row r="21">
          <cell r="G21">
            <v>6</v>
          </cell>
        </row>
        <row r="22">
          <cell r="G22">
            <v>2</v>
          </cell>
        </row>
        <row r="23">
          <cell r="G23">
            <v>433</v>
          </cell>
        </row>
        <row r="24">
          <cell r="G24">
            <v>32419</v>
          </cell>
        </row>
        <row r="30">
          <cell r="G30">
            <v>0</v>
          </cell>
        </row>
        <row r="35">
          <cell r="G35">
            <v>133</v>
          </cell>
        </row>
        <row r="37">
          <cell r="G37">
            <v>0.04</v>
          </cell>
        </row>
        <row r="40">
          <cell r="G40">
            <v>1154</v>
          </cell>
        </row>
        <row r="43">
          <cell r="G43">
            <v>657</v>
          </cell>
        </row>
        <row r="44">
          <cell r="G44">
            <v>1944</v>
          </cell>
        </row>
        <row r="45">
          <cell r="G45">
            <v>1944</v>
          </cell>
        </row>
        <row r="46">
          <cell r="G46">
            <v>6723</v>
          </cell>
        </row>
        <row r="55">
          <cell r="G55">
            <v>5057</v>
          </cell>
        </row>
        <row r="57">
          <cell r="G57">
            <v>2853</v>
          </cell>
        </row>
        <row r="60">
          <cell r="G60">
            <v>280</v>
          </cell>
        </row>
      </sheetData>
      <sheetData sheetId="12">
        <row r="2">
          <cell r="G2">
            <v>422</v>
          </cell>
        </row>
        <row r="3">
          <cell r="G3">
            <v>96478</v>
          </cell>
        </row>
        <row r="6">
          <cell r="G6">
            <v>319015</v>
          </cell>
        </row>
        <row r="7">
          <cell r="G7">
            <v>194</v>
          </cell>
        </row>
        <row r="8">
          <cell r="G8">
            <v>180547</v>
          </cell>
        </row>
        <row r="14">
          <cell r="G14">
            <v>461250</v>
          </cell>
        </row>
        <row r="15">
          <cell r="G15">
            <v>199</v>
          </cell>
        </row>
        <row r="16">
          <cell r="G16">
            <v>17219</v>
          </cell>
        </row>
        <row r="17">
          <cell r="G17">
            <v>54</v>
          </cell>
        </row>
        <row r="18">
          <cell r="G18">
            <v>76</v>
          </cell>
        </row>
        <row r="20">
          <cell r="G20" t="str">
            <v xml:space="preserve">       1,705 </v>
          </cell>
        </row>
        <row r="21">
          <cell r="G21">
            <v>3</v>
          </cell>
        </row>
        <row r="22">
          <cell r="G22">
            <v>0</v>
          </cell>
        </row>
        <row r="23">
          <cell r="G23">
            <v>323</v>
          </cell>
        </row>
        <row r="24">
          <cell r="G24">
            <v>27517</v>
          </cell>
        </row>
        <row r="30">
          <cell r="G30">
            <v>0</v>
          </cell>
        </row>
        <row r="35">
          <cell r="G35">
            <v>0</v>
          </cell>
        </row>
        <row r="37">
          <cell r="G37">
            <v>0</v>
          </cell>
        </row>
        <row r="40">
          <cell r="G40">
            <v>500</v>
          </cell>
        </row>
        <row r="43">
          <cell r="G43">
            <v>22</v>
          </cell>
        </row>
        <row r="44">
          <cell r="G44">
            <v>128</v>
          </cell>
        </row>
        <row r="45">
          <cell r="G45">
            <v>128</v>
          </cell>
        </row>
        <row r="46">
          <cell r="G46">
            <v>7312</v>
          </cell>
        </row>
        <row r="55">
          <cell r="G55">
            <v>4989</v>
          </cell>
        </row>
        <row r="57">
          <cell r="G57">
            <v>1520</v>
          </cell>
        </row>
        <row r="60">
          <cell r="G60">
            <v>240</v>
          </cell>
        </row>
      </sheetData>
      <sheetData sheetId="13">
        <row r="2">
          <cell r="G2">
            <v>574</v>
          </cell>
        </row>
        <row r="6">
          <cell r="G6">
            <v>277806</v>
          </cell>
        </row>
        <row r="7">
          <cell r="G7">
            <v>318</v>
          </cell>
        </row>
        <row r="14">
          <cell r="G14">
            <v>254025</v>
          </cell>
        </row>
        <row r="15">
          <cell r="G15">
            <v>256</v>
          </cell>
        </row>
        <row r="16">
          <cell r="G16">
            <v>20282</v>
          </cell>
        </row>
        <row r="17">
          <cell r="G17">
            <v>53</v>
          </cell>
        </row>
        <row r="18">
          <cell r="G18">
            <v>94</v>
          </cell>
        </row>
        <row r="20">
          <cell r="G20" t="str">
            <v>       5,080</v>
          </cell>
        </row>
        <row r="21">
          <cell r="G21">
            <v>1</v>
          </cell>
        </row>
        <row r="22">
          <cell r="G22">
            <v>1</v>
          </cell>
        </row>
        <row r="23">
          <cell r="G23">
            <v>387</v>
          </cell>
        </row>
        <row r="30">
          <cell r="G30">
            <v>0</v>
          </cell>
        </row>
        <row r="35">
          <cell r="G35">
            <v>48</v>
          </cell>
        </row>
        <row r="37">
          <cell r="G37">
            <v>4</v>
          </cell>
        </row>
        <row r="40">
          <cell r="G40">
            <v>427</v>
          </cell>
        </row>
        <row r="43">
          <cell r="G43">
            <v>42</v>
          </cell>
        </row>
        <row r="44">
          <cell r="G44">
            <v>103</v>
          </cell>
        </row>
        <row r="45">
          <cell r="G45">
            <v>103</v>
          </cell>
        </row>
        <row r="46">
          <cell r="G46">
            <v>6800</v>
          </cell>
        </row>
        <row r="55">
          <cell r="G55">
            <v>4289</v>
          </cell>
        </row>
        <row r="57">
          <cell r="G57">
            <v>3036</v>
          </cell>
        </row>
        <row r="60">
          <cell r="G60">
            <v>265</v>
          </cell>
        </row>
      </sheetData>
      <sheetData sheetId="14">
        <row r="2">
          <cell r="G2">
            <v>365</v>
          </cell>
        </row>
        <row r="3">
          <cell r="G3">
            <v>123067</v>
          </cell>
        </row>
        <row r="6">
          <cell r="G6">
            <v>172423</v>
          </cell>
        </row>
        <row r="7">
          <cell r="G7">
            <v>141</v>
          </cell>
        </row>
        <row r="8">
          <cell r="G8">
            <v>86429</v>
          </cell>
        </row>
        <row r="14">
          <cell r="G14">
            <v>256885</v>
          </cell>
        </row>
        <row r="15">
          <cell r="G15">
            <v>143</v>
          </cell>
        </row>
        <row r="16">
          <cell r="G16">
            <v>24764</v>
          </cell>
        </row>
        <row r="17">
          <cell r="G17">
            <v>35</v>
          </cell>
        </row>
        <row r="18">
          <cell r="G18">
            <v>58</v>
          </cell>
        </row>
        <row r="20">
          <cell r="G20">
            <v>26434</v>
          </cell>
        </row>
        <row r="21">
          <cell r="G21">
            <v>3</v>
          </cell>
        </row>
        <row r="22">
          <cell r="G22">
            <v>1</v>
          </cell>
        </row>
        <row r="23">
          <cell r="G23">
            <v>252</v>
          </cell>
        </row>
        <row r="24">
          <cell r="G24">
            <v>81917</v>
          </cell>
        </row>
        <row r="30">
          <cell r="G30">
            <v>0</v>
          </cell>
        </row>
        <row r="35">
          <cell r="G35">
            <v>4552</v>
          </cell>
        </row>
        <row r="37">
          <cell r="G37">
            <v>36</v>
          </cell>
        </row>
        <row r="40">
          <cell r="G40">
            <v>0</v>
          </cell>
        </row>
        <row r="43">
          <cell r="G43">
            <v>3201</v>
          </cell>
        </row>
        <row r="44">
          <cell r="G44">
            <v>10711</v>
          </cell>
        </row>
        <row r="45">
          <cell r="G45">
            <v>10711</v>
          </cell>
        </row>
        <row r="46">
          <cell r="G46">
            <v>11880</v>
          </cell>
        </row>
        <row r="55">
          <cell r="G55">
            <v>5912</v>
          </cell>
        </row>
        <row r="57">
          <cell r="G57">
            <v>2639</v>
          </cell>
        </row>
        <row r="60">
          <cell r="G60">
            <v>236</v>
          </cell>
        </row>
      </sheetData>
      <sheetData sheetId="15">
        <row r="2">
          <cell r="H2">
            <v>386</v>
          </cell>
        </row>
        <row r="3">
          <cell r="H3">
            <v>161964</v>
          </cell>
        </row>
        <row r="6">
          <cell r="H6">
            <v>169603</v>
          </cell>
        </row>
        <row r="7">
          <cell r="H7">
            <v>144</v>
          </cell>
        </row>
        <row r="8">
          <cell r="H8">
            <v>130750</v>
          </cell>
        </row>
        <row r="14">
          <cell r="H14">
            <v>339530</v>
          </cell>
        </row>
        <row r="15">
          <cell r="H15">
            <v>174</v>
          </cell>
        </row>
        <row r="16">
          <cell r="H16">
            <v>20246</v>
          </cell>
        </row>
        <row r="17">
          <cell r="H17">
            <v>26</v>
          </cell>
        </row>
        <row r="18">
          <cell r="H18">
            <v>76</v>
          </cell>
        </row>
        <row r="20">
          <cell r="H20">
            <v>37375</v>
          </cell>
        </row>
        <row r="21">
          <cell r="H21">
            <v>3</v>
          </cell>
        </row>
        <row r="22">
          <cell r="H22">
            <v>3</v>
          </cell>
        </row>
        <row r="23">
          <cell r="H23">
            <v>236</v>
          </cell>
        </row>
        <row r="24">
          <cell r="H24">
            <v>54970</v>
          </cell>
        </row>
        <row r="30">
          <cell r="H30">
            <v>0</v>
          </cell>
        </row>
        <row r="35">
          <cell r="H35">
            <v>14715</v>
          </cell>
        </row>
        <row r="37">
          <cell r="H37">
            <v>2.2400000000000002</v>
          </cell>
        </row>
        <row r="40">
          <cell r="H40">
            <v>7209</v>
          </cell>
        </row>
        <row r="41">
          <cell r="H41">
            <v>23900</v>
          </cell>
        </row>
        <row r="42">
          <cell r="H42">
            <v>23900</v>
          </cell>
        </row>
        <row r="43">
          <cell r="H43">
            <v>4960</v>
          </cell>
        </row>
        <row r="52">
          <cell r="H52">
            <v>5376</v>
          </cell>
        </row>
        <row r="54">
          <cell r="H54">
            <v>3440</v>
          </cell>
        </row>
        <row r="57">
          <cell r="H57">
            <v>246</v>
          </cell>
        </row>
      </sheetData>
      <sheetData sheetId="16">
        <row r="2">
          <cell r="G2">
            <v>321</v>
          </cell>
        </row>
        <row r="3">
          <cell r="G3">
            <v>149925</v>
          </cell>
        </row>
        <row r="6">
          <cell r="G6">
            <v>218085</v>
          </cell>
        </row>
        <row r="7">
          <cell r="G7">
            <v>195</v>
          </cell>
        </row>
        <row r="8">
          <cell r="G8">
            <v>126790</v>
          </cell>
        </row>
        <row r="14">
          <cell r="G14">
            <v>331414</v>
          </cell>
        </row>
        <row r="15">
          <cell r="G15">
            <v>157</v>
          </cell>
        </row>
        <row r="16">
          <cell r="G16">
            <v>23563</v>
          </cell>
        </row>
        <row r="17">
          <cell r="G17">
            <v>29</v>
          </cell>
        </row>
        <row r="18">
          <cell r="G18">
            <v>59</v>
          </cell>
        </row>
        <row r="20">
          <cell r="G20">
            <v>30433</v>
          </cell>
        </row>
        <row r="21">
          <cell r="G21">
            <v>1</v>
          </cell>
        </row>
        <row r="22">
          <cell r="G22">
            <v>3</v>
          </cell>
        </row>
        <row r="23">
          <cell r="G23">
            <v>251</v>
          </cell>
        </row>
        <row r="24">
          <cell r="G24">
            <v>119076</v>
          </cell>
        </row>
        <row r="30">
          <cell r="G30">
            <v>0</v>
          </cell>
        </row>
        <row r="35">
          <cell r="G35">
            <v>12390</v>
          </cell>
        </row>
        <row r="37">
          <cell r="G37">
            <v>1.28</v>
          </cell>
        </row>
        <row r="40">
          <cell r="G40">
            <v>5124</v>
          </cell>
        </row>
        <row r="41">
          <cell r="G41">
            <v>14421</v>
          </cell>
        </row>
        <row r="42">
          <cell r="G42">
            <v>14421</v>
          </cell>
        </row>
        <row r="43">
          <cell r="G43">
            <v>5383</v>
          </cell>
        </row>
        <row r="52">
          <cell r="G52">
            <v>5032</v>
          </cell>
        </row>
        <row r="54">
          <cell r="G54">
            <v>2164</v>
          </cell>
        </row>
        <row r="57">
          <cell r="G57">
            <v>196</v>
          </cell>
        </row>
      </sheetData>
      <sheetData sheetId="17">
        <row r="2">
          <cell r="G2">
            <v>441</v>
          </cell>
        </row>
        <row r="3">
          <cell r="G3">
            <v>140644</v>
          </cell>
        </row>
        <row r="6">
          <cell r="G6">
            <v>215605</v>
          </cell>
        </row>
        <row r="7">
          <cell r="G7">
            <v>141</v>
          </cell>
        </row>
        <row r="8">
          <cell r="G8">
            <v>94125</v>
          </cell>
        </row>
        <row r="14">
          <cell r="G14">
            <v>301845</v>
          </cell>
        </row>
        <row r="15">
          <cell r="G15">
            <v>133</v>
          </cell>
        </row>
        <row r="16">
          <cell r="G16">
            <v>23560</v>
          </cell>
        </row>
        <row r="17">
          <cell r="G17">
            <v>30</v>
          </cell>
        </row>
        <row r="18">
          <cell r="G18">
            <v>54</v>
          </cell>
        </row>
        <row r="20">
          <cell r="G20">
            <v>497</v>
          </cell>
        </row>
        <row r="21">
          <cell r="G21">
            <v>2</v>
          </cell>
        </row>
        <row r="22">
          <cell r="G22">
            <v>0</v>
          </cell>
        </row>
        <row r="23">
          <cell r="G23">
            <v>234</v>
          </cell>
        </row>
        <row r="24">
          <cell r="G24">
            <v>34449</v>
          </cell>
        </row>
        <row r="30">
          <cell r="G30">
            <v>0</v>
          </cell>
        </row>
        <row r="31">
          <cell r="G31">
            <v>30</v>
          </cell>
        </row>
        <row r="35">
          <cell r="G35">
            <v>6555</v>
          </cell>
        </row>
        <row r="37">
          <cell r="G37">
            <v>11.72</v>
          </cell>
        </row>
        <row r="40">
          <cell r="G40">
            <v>3533</v>
          </cell>
        </row>
        <row r="41">
          <cell r="G41">
            <v>9703</v>
          </cell>
        </row>
        <row r="42">
          <cell r="G42">
            <v>9703</v>
          </cell>
        </row>
        <row r="43">
          <cell r="G43">
            <v>4850</v>
          </cell>
        </row>
        <row r="52">
          <cell r="G52">
            <v>3928</v>
          </cell>
        </row>
        <row r="54">
          <cell r="G54">
            <v>4143</v>
          </cell>
        </row>
        <row r="57">
          <cell r="G57">
            <v>217</v>
          </cell>
        </row>
      </sheetData>
      <sheetData sheetId="18">
        <row r="2">
          <cell r="G2">
            <v>313</v>
          </cell>
        </row>
        <row r="3">
          <cell r="G3">
            <v>110320</v>
          </cell>
        </row>
        <row r="6">
          <cell r="G6">
            <v>215363</v>
          </cell>
        </row>
        <row r="7">
          <cell r="G7">
            <v>130</v>
          </cell>
        </row>
        <row r="8">
          <cell r="G8">
            <v>121060</v>
          </cell>
        </row>
        <row r="14">
          <cell r="G14">
            <v>295210</v>
          </cell>
        </row>
        <row r="15">
          <cell r="G15">
            <v>127</v>
          </cell>
        </row>
        <row r="16">
          <cell r="G16">
            <v>21560</v>
          </cell>
        </row>
        <row r="17">
          <cell r="G17">
            <v>22</v>
          </cell>
        </row>
        <row r="18">
          <cell r="G18">
            <v>50</v>
          </cell>
        </row>
        <row r="20">
          <cell r="G20">
            <v>7555</v>
          </cell>
        </row>
        <row r="23">
          <cell r="G23">
            <v>187</v>
          </cell>
        </row>
        <row r="24">
          <cell r="G24">
            <v>28485</v>
          </cell>
        </row>
        <row r="30">
          <cell r="G30">
            <v>760</v>
          </cell>
        </row>
        <row r="31">
          <cell r="G31">
            <v>200</v>
          </cell>
        </row>
        <row r="35">
          <cell r="G35">
            <v>5415</v>
          </cell>
        </row>
        <row r="37">
          <cell r="G37">
            <v>153</v>
          </cell>
        </row>
        <row r="40">
          <cell r="G40">
            <v>2625</v>
          </cell>
        </row>
        <row r="41">
          <cell r="G41">
            <v>7464</v>
          </cell>
        </row>
        <row r="42">
          <cell r="G42">
            <v>7464</v>
          </cell>
        </row>
        <row r="43">
          <cell r="G43">
            <v>2646</v>
          </cell>
        </row>
        <row r="52">
          <cell r="G52">
            <v>2930</v>
          </cell>
        </row>
        <row r="54">
          <cell r="G54">
            <v>3441</v>
          </cell>
        </row>
        <row r="57">
          <cell r="G57">
            <v>165</v>
          </cell>
        </row>
      </sheetData>
      <sheetData sheetId="19">
        <row r="2">
          <cell r="G2">
            <v>332</v>
          </cell>
        </row>
        <row r="3">
          <cell r="G3">
            <v>144673</v>
          </cell>
        </row>
        <row r="6">
          <cell r="G6">
            <v>202853</v>
          </cell>
        </row>
        <row r="7">
          <cell r="G7">
            <v>137</v>
          </cell>
        </row>
        <row r="8">
          <cell r="G8">
            <v>176784</v>
          </cell>
        </row>
        <row r="14">
          <cell r="G14">
            <v>251920</v>
          </cell>
        </row>
        <row r="15">
          <cell r="G15">
            <v>137</v>
          </cell>
        </row>
        <row r="16">
          <cell r="G16">
            <v>17062</v>
          </cell>
        </row>
        <row r="17">
          <cell r="G17">
            <v>23</v>
          </cell>
        </row>
        <row r="18">
          <cell r="G18">
            <v>61</v>
          </cell>
        </row>
        <row r="20">
          <cell r="G20">
            <v>4600</v>
          </cell>
        </row>
        <row r="23">
          <cell r="G23">
            <v>237</v>
          </cell>
        </row>
        <row r="24">
          <cell r="G24">
            <v>54718</v>
          </cell>
        </row>
        <row r="30">
          <cell r="G30">
            <v>350</v>
          </cell>
        </row>
        <row r="31">
          <cell r="G31">
            <v>0</v>
          </cell>
        </row>
        <row r="35">
          <cell r="G35">
            <v>3018</v>
          </cell>
        </row>
        <row r="37">
          <cell r="G37">
            <v>207</v>
          </cell>
        </row>
        <row r="40">
          <cell r="G40">
            <v>1900</v>
          </cell>
        </row>
        <row r="41">
          <cell r="G41">
            <v>5225</v>
          </cell>
        </row>
        <row r="42">
          <cell r="G42">
            <v>5225</v>
          </cell>
        </row>
        <row r="43">
          <cell r="G43">
            <v>1934</v>
          </cell>
        </row>
        <row r="52">
          <cell r="G52">
            <v>2373</v>
          </cell>
        </row>
        <row r="54">
          <cell r="G54">
            <v>3820</v>
          </cell>
        </row>
        <row r="57">
          <cell r="G57">
            <v>181</v>
          </cell>
        </row>
      </sheetData>
      <sheetData sheetId="20">
        <row r="2">
          <cell r="E2">
            <v>303</v>
          </cell>
        </row>
        <row r="3">
          <cell r="E3">
            <v>131249</v>
          </cell>
        </row>
        <row r="6">
          <cell r="E6">
            <v>167570</v>
          </cell>
        </row>
        <row r="7">
          <cell r="E7">
            <v>189</v>
          </cell>
        </row>
        <row r="8">
          <cell r="E8">
            <v>142308</v>
          </cell>
        </row>
        <row r="14">
          <cell r="E14">
            <v>175807</v>
          </cell>
        </row>
        <row r="15">
          <cell r="E15">
            <v>214</v>
          </cell>
        </row>
        <row r="16">
          <cell r="E16">
            <v>34239</v>
          </cell>
        </row>
        <row r="17">
          <cell r="E17">
            <v>21</v>
          </cell>
        </row>
        <row r="18">
          <cell r="E18">
            <v>72</v>
          </cell>
        </row>
        <row r="20">
          <cell r="E20">
            <v>5850</v>
          </cell>
        </row>
        <row r="23">
          <cell r="E23">
            <v>293</v>
          </cell>
        </row>
        <row r="24">
          <cell r="E24">
            <v>64602</v>
          </cell>
        </row>
        <row r="30">
          <cell r="E30">
            <v>600</v>
          </cell>
        </row>
        <row r="31">
          <cell r="E31">
            <v>50</v>
          </cell>
        </row>
        <row r="35">
          <cell r="E35">
            <v>7185</v>
          </cell>
        </row>
        <row r="37">
          <cell r="E37">
            <v>2313</v>
          </cell>
        </row>
        <row r="38">
          <cell r="E38">
            <v>8248</v>
          </cell>
        </row>
        <row r="39">
          <cell r="E39">
            <v>8248</v>
          </cell>
        </row>
        <row r="40">
          <cell r="E40">
            <v>1971</v>
          </cell>
        </row>
        <row r="49">
          <cell r="E49">
            <v>1860</v>
          </cell>
        </row>
        <row r="51">
          <cell r="E51">
            <v>5581</v>
          </cell>
        </row>
        <row r="54">
          <cell r="E54">
            <v>167</v>
          </cell>
        </row>
      </sheetData>
      <sheetData sheetId="21">
        <row r="2">
          <cell r="G2">
            <v>296</v>
          </cell>
        </row>
        <row r="3">
          <cell r="G3">
            <v>146898</v>
          </cell>
        </row>
        <row r="6">
          <cell r="G6">
            <v>205932</v>
          </cell>
        </row>
        <row r="7">
          <cell r="G7">
            <v>137</v>
          </cell>
        </row>
        <row r="8">
          <cell r="G8">
            <v>79843</v>
          </cell>
        </row>
        <row r="14">
          <cell r="G14">
            <v>210942</v>
          </cell>
        </row>
        <row r="15">
          <cell r="G15">
            <v>190</v>
          </cell>
        </row>
        <row r="16">
          <cell r="G16">
            <v>18166</v>
          </cell>
        </row>
        <row r="17">
          <cell r="G17">
            <v>90</v>
          </cell>
        </row>
        <row r="18">
          <cell r="G18">
            <v>279</v>
          </cell>
        </row>
        <row r="19">
          <cell r="G19">
            <v>31897</v>
          </cell>
        </row>
        <row r="25">
          <cell r="G25">
            <v>4850</v>
          </cell>
        </row>
        <row r="26">
          <cell r="G26">
            <v>135</v>
          </cell>
        </row>
        <row r="30">
          <cell r="G30">
            <v>18548</v>
          </cell>
        </row>
        <row r="32">
          <cell r="G32">
            <v>6473</v>
          </cell>
        </row>
        <row r="33">
          <cell r="G33">
            <v>18927</v>
          </cell>
        </row>
        <row r="35">
          <cell r="G35">
            <v>2114</v>
          </cell>
        </row>
        <row r="44">
          <cell r="G44">
            <v>2347</v>
          </cell>
        </row>
        <row r="46">
          <cell r="G46">
            <v>6070</v>
          </cell>
        </row>
        <row r="49">
          <cell r="G49">
            <v>156</v>
          </cell>
        </row>
      </sheetData>
      <sheetData sheetId="22">
        <row r="2">
          <cell r="G2">
            <v>273</v>
          </cell>
        </row>
        <row r="3">
          <cell r="G3">
            <v>147154</v>
          </cell>
        </row>
        <row r="6">
          <cell r="G6">
            <v>195489</v>
          </cell>
        </row>
        <row r="7">
          <cell r="G7">
            <v>206</v>
          </cell>
        </row>
        <row r="8">
          <cell r="G8">
            <v>138541</v>
          </cell>
        </row>
        <row r="14">
          <cell r="G14">
            <v>183607</v>
          </cell>
        </row>
        <row r="15">
          <cell r="G15">
            <v>137</v>
          </cell>
        </row>
        <row r="16">
          <cell r="G16">
            <v>23119</v>
          </cell>
        </row>
        <row r="17">
          <cell r="G17">
            <v>78</v>
          </cell>
        </row>
        <row r="18">
          <cell r="G18">
            <v>244</v>
          </cell>
        </row>
        <row r="19">
          <cell r="G19">
            <v>62534</v>
          </cell>
        </row>
        <row r="25">
          <cell r="G25">
            <v>2800</v>
          </cell>
        </row>
        <row r="30">
          <cell r="G30">
            <v>16733</v>
          </cell>
        </row>
        <row r="32">
          <cell r="G32">
            <v>4060</v>
          </cell>
        </row>
        <row r="33">
          <cell r="G33">
            <v>10907</v>
          </cell>
        </row>
        <row r="35">
          <cell r="G35">
            <v>3652</v>
          </cell>
        </row>
        <row r="44">
          <cell r="G44">
            <v>3504</v>
          </cell>
        </row>
        <row r="46">
          <cell r="G46">
            <v>2071</v>
          </cell>
        </row>
        <row r="49">
          <cell r="G49">
            <v>134</v>
          </cell>
        </row>
      </sheetData>
      <sheetData sheetId="23">
        <row r="2">
          <cell r="G2">
            <v>276</v>
          </cell>
        </row>
        <row r="3">
          <cell r="G3">
            <v>170548</v>
          </cell>
        </row>
        <row r="6">
          <cell r="G6">
            <v>221185</v>
          </cell>
        </row>
        <row r="7">
          <cell r="G7">
            <v>124</v>
          </cell>
        </row>
        <row r="8">
          <cell r="G8">
            <v>72260</v>
          </cell>
        </row>
        <row r="14">
          <cell r="G14">
            <v>116258</v>
          </cell>
        </row>
        <row r="15">
          <cell r="G15">
            <v>87</v>
          </cell>
        </row>
        <row r="16">
          <cell r="G16">
            <v>20327</v>
          </cell>
        </row>
        <row r="17">
          <cell r="G17">
            <v>65</v>
          </cell>
        </row>
        <row r="18">
          <cell r="G18">
            <v>375</v>
          </cell>
        </row>
        <row r="19">
          <cell r="G19">
            <v>109387</v>
          </cell>
        </row>
        <row r="25">
          <cell r="G25">
            <v>1520</v>
          </cell>
        </row>
        <row r="26">
          <cell r="G26">
            <v>1000</v>
          </cell>
        </row>
        <row r="30">
          <cell r="G30">
            <v>64</v>
          </cell>
        </row>
        <row r="32">
          <cell r="G32">
            <v>19</v>
          </cell>
        </row>
        <row r="33">
          <cell r="G33">
            <v>32</v>
          </cell>
        </row>
        <row r="35">
          <cell r="G35">
            <v>271</v>
          </cell>
        </row>
        <row r="44">
          <cell r="G44">
            <v>3183</v>
          </cell>
        </row>
        <row r="46">
          <cell r="G46">
            <v>1866</v>
          </cell>
        </row>
        <row r="49">
          <cell r="G49">
            <v>169</v>
          </cell>
        </row>
      </sheetData>
      <sheetData sheetId="24">
        <row r="2">
          <cell r="G2">
            <v>243</v>
          </cell>
        </row>
        <row r="3">
          <cell r="G3">
            <v>253645</v>
          </cell>
        </row>
        <row r="6">
          <cell r="G6">
            <v>197944</v>
          </cell>
        </row>
        <row r="7">
          <cell r="G7">
            <v>109</v>
          </cell>
        </row>
        <row r="8">
          <cell r="G8">
            <v>65100</v>
          </cell>
        </row>
        <row r="14">
          <cell r="G14">
            <v>92132</v>
          </cell>
        </row>
        <row r="15">
          <cell r="G15">
            <v>43</v>
          </cell>
        </row>
        <row r="16">
          <cell r="G16">
            <v>10443</v>
          </cell>
        </row>
        <row r="17">
          <cell r="G17">
            <v>38</v>
          </cell>
        </row>
        <row r="18">
          <cell r="G18">
            <v>148</v>
          </cell>
        </row>
        <row r="19">
          <cell r="G19">
            <v>39043</v>
          </cell>
        </row>
        <row r="25">
          <cell r="G25">
            <v>500</v>
          </cell>
        </row>
        <row r="30">
          <cell r="G30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776</v>
          </cell>
        </row>
        <row r="44">
          <cell r="G44">
            <v>2820</v>
          </cell>
        </row>
        <row r="46">
          <cell r="G46">
            <v>2235</v>
          </cell>
        </row>
        <row r="49">
          <cell r="G49">
            <v>147</v>
          </cell>
        </row>
      </sheetData>
      <sheetData sheetId="25">
        <row r="2">
          <cell r="G2">
            <v>277</v>
          </cell>
        </row>
        <row r="3">
          <cell r="G3">
            <v>98540</v>
          </cell>
        </row>
        <row r="6">
          <cell r="G6">
            <v>155040</v>
          </cell>
        </row>
        <row r="7">
          <cell r="G7">
            <v>137</v>
          </cell>
        </row>
        <row r="8">
          <cell r="G8">
            <v>119541</v>
          </cell>
        </row>
        <row r="14">
          <cell r="G14">
            <v>120968</v>
          </cell>
        </row>
        <row r="15">
          <cell r="G15">
            <v>53</v>
          </cell>
        </row>
        <row r="16">
          <cell r="G16">
            <v>25201</v>
          </cell>
        </row>
        <row r="17">
          <cell r="G17">
            <v>43</v>
          </cell>
        </row>
        <row r="18">
          <cell r="G18">
            <v>97</v>
          </cell>
        </row>
        <row r="19">
          <cell r="G19">
            <v>46552</v>
          </cell>
        </row>
        <row r="25">
          <cell r="G25">
            <v>1000</v>
          </cell>
        </row>
        <row r="30">
          <cell r="G30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225</v>
          </cell>
        </row>
        <row r="44">
          <cell r="G44">
            <v>1253</v>
          </cell>
        </row>
        <row r="46">
          <cell r="G46">
            <v>2970</v>
          </cell>
        </row>
        <row r="49">
          <cell r="G49">
            <v>139</v>
          </cell>
        </row>
      </sheetData>
      <sheetData sheetId="26">
        <row r="2">
          <cell r="E2">
            <v>182</v>
          </cell>
        </row>
        <row r="3">
          <cell r="E3">
            <v>85194</v>
          </cell>
        </row>
        <row r="6">
          <cell r="E6">
            <v>245343</v>
          </cell>
        </row>
        <row r="7">
          <cell r="E7">
            <v>119</v>
          </cell>
        </row>
        <row r="8">
          <cell r="E8">
            <v>104952</v>
          </cell>
        </row>
        <row r="14">
          <cell r="E14">
            <v>119100</v>
          </cell>
        </row>
        <row r="15">
          <cell r="E15">
            <v>72</v>
          </cell>
        </row>
        <row r="16">
          <cell r="E16">
            <v>78414</v>
          </cell>
        </row>
        <row r="17">
          <cell r="E17">
            <v>47</v>
          </cell>
        </row>
        <row r="18">
          <cell r="E18">
            <v>99</v>
          </cell>
        </row>
        <row r="19">
          <cell r="E19">
            <v>89352</v>
          </cell>
        </row>
        <row r="25">
          <cell r="E25">
            <v>200</v>
          </cell>
        </row>
        <row r="30">
          <cell r="E30">
            <v>302</v>
          </cell>
        </row>
        <row r="32">
          <cell r="E32">
            <v>377</v>
          </cell>
        </row>
        <row r="33">
          <cell r="E33">
            <v>1640</v>
          </cell>
        </row>
        <row r="34">
          <cell r="E34">
            <v>1640</v>
          </cell>
        </row>
        <row r="35">
          <cell r="E35">
            <v>173</v>
          </cell>
        </row>
        <row r="44">
          <cell r="E44">
            <v>1084</v>
          </cell>
        </row>
        <row r="46">
          <cell r="E46">
            <v>1556</v>
          </cell>
        </row>
        <row r="49">
          <cell r="E49">
            <v>125</v>
          </cell>
        </row>
      </sheetData>
      <sheetData sheetId="27">
        <row r="2">
          <cell r="E2">
            <v>182</v>
          </cell>
        </row>
        <row r="3">
          <cell r="E3">
            <v>162397</v>
          </cell>
        </row>
        <row r="6">
          <cell r="E6">
            <v>191695</v>
          </cell>
        </row>
        <row r="7">
          <cell r="E7">
            <v>133</v>
          </cell>
        </row>
        <row r="8">
          <cell r="E8">
            <v>165094</v>
          </cell>
        </row>
        <row r="14">
          <cell r="E14">
            <v>108227</v>
          </cell>
        </row>
        <row r="15">
          <cell r="E15">
            <v>65</v>
          </cell>
        </row>
        <row r="16">
          <cell r="E16">
            <v>84807</v>
          </cell>
        </row>
        <row r="17">
          <cell r="E17">
            <v>39</v>
          </cell>
        </row>
        <row r="18">
          <cell r="E18">
            <v>168</v>
          </cell>
        </row>
        <row r="19">
          <cell r="E19">
            <v>144600</v>
          </cell>
        </row>
        <row r="25">
          <cell r="E25">
            <v>0</v>
          </cell>
        </row>
        <row r="30">
          <cell r="E30">
            <v>5201</v>
          </cell>
        </row>
        <row r="32">
          <cell r="E32">
            <v>2646</v>
          </cell>
        </row>
        <row r="33">
          <cell r="E33">
            <v>10141</v>
          </cell>
        </row>
        <row r="34">
          <cell r="E34">
            <v>9258</v>
          </cell>
        </row>
        <row r="35">
          <cell r="E35">
            <v>415</v>
          </cell>
        </row>
        <row r="44">
          <cell r="E44">
            <v>2114</v>
          </cell>
        </row>
        <row r="46">
          <cell r="E46">
            <v>4831</v>
          </cell>
        </row>
        <row r="49">
          <cell r="E49">
            <v>142</v>
          </cell>
        </row>
      </sheetData>
      <sheetData sheetId="28">
        <row r="2">
          <cell r="E2">
            <v>101</v>
          </cell>
        </row>
        <row r="3">
          <cell r="E3">
            <v>49440</v>
          </cell>
        </row>
        <row r="6">
          <cell r="E6">
            <v>100380</v>
          </cell>
        </row>
        <row r="7">
          <cell r="E7">
            <v>116</v>
          </cell>
        </row>
        <row r="8">
          <cell r="E8">
            <v>120365</v>
          </cell>
        </row>
        <row r="14">
          <cell r="E14">
            <v>69162</v>
          </cell>
        </row>
        <row r="15">
          <cell r="E15">
            <v>46</v>
          </cell>
        </row>
        <row r="16">
          <cell r="E16">
            <v>76045</v>
          </cell>
        </row>
        <row r="17">
          <cell r="E17">
            <v>24</v>
          </cell>
        </row>
        <row r="18">
          <cell r="E18">
            <v>99</v>
          </cell>
        </row>
        <row r="19">
          <cell r="E19">
            <v>98695</v>
          </cell>
        </row>
        <row r="25">
          <cell r="E25">
            <v>4743</v>
          </cell>
        </row>
        <row r="27">
          <cell r="E27">
            <v>3169</v>
          </cell>
        </row>
        <row r="29">
          <cell r="E29">
            <v>626</v>
          </cell>
        </row>
        <row r="30">
          <cell r="E30">
            <v>2052</v>
          </cell>
        </row>
        <row r="31">
          <cell r="E31">
            <v>1024</v>
          </cell>
        </row>
        <row r="32">
          <cell r="E32">
            <v>0</v>
          </cell>
        </row>
        <row r="41">
          <cell r="E41">
            <v>2418</v>
          </cell>
        </row>
        <row r="43">
          <cell r="E43">
            <v>1193</v>
          </cell>
        </row>
        <row r="46">
          <cell r="E46">
            <v>59</v>
          </cell>
        </row>
      </sheetData>
      <sheetData sheetId="29">
        <row r="2">
          <cell r="E2">
            <v>120</v>
          </cell>
        </row>
        <row r="3">
          <cell r="E3">
            <v>54623</v>
          </cell>
        </row>
        <row r="6">
          <cell r="E6">
            <v>98442</v>
          </cell>
        </row>
        <row r="7">
          <cell r="E7">
            <v>64</v>
          </cell>
        </row>
        <row r="8">
          <cell r="E8">
            <v>129201</v>
          </cell>
        </row>
        <row r="14">
          <cell r="E14">
            <v>107154</v>
          </cell>
        </row>
        <row r="15">
          <cell r="E15">
            <v>74</v>
          </cell>
        </row>
        <row r="16">
          <cell r="E16">
            <v>36282</v>
          </cell>
        </row>
        <row r="17">
          <cell r="E17">
            <v>52</v>
          </cell>
        </row>
        <row r="18">
          <cell r="E18">
            <v>207</v>
          </cell>
        </row>
        <row r="19">
          <cell r="E19">
            <v>58289</v>
          </cell>
        </row>
        <row r="25">
          <cell r="E25">
            <v>3338</v>
          </cell>
        </row>
        <row r="27">
          <cell r="E27">
            <v>3183</v>
          </cell>
        </row>
        <row r="29">
          <cell r="E29">
            <v>915</v>
          </cell>
        </row>
        <row r="30">
          <cell r="E30">
            <v>2373</v>
          </cell>
        </row>
        <row r="31">
          <cell r="E31">
            <v>386</v>
          </cell>
        </row>
        <row r="32">
          <cell r="E32">
            <v>0</v>
          </cell>
        </row>
        <row r="43">
          <cell r="E43">
            <v>4198</v>
          </cell>
        </row>
        <row r="45">
          <cell r="E45">
            <v>716</v>
          </cell>
        </row>
        <row r="48">
          <cell r="E48">
            <v>138</v>
          </cell>
        </row>
      </sheetData>
      <sheetData sheetId="30">
        <row r="2">
          <cell r="G2">
            <v>129</v>
          </cell>
        </row>
        <row r="3">
          <cell r="G3">
            <v>47325</v>
          </cell>
        </row>
        <row r="6">
          <cell r="G6">
            <v>79627</v>
          </cell>
        </row>
        <row r="7">
          <cell r="G7">
            <v>58</v>
          </cell>
        </row>
        <row r="8">
          <cell r="G8">
            <v>38425</v>
          </cell>
        </row>
        <row r="14">
          <cell r="G14">
            <v>88936</v>
          </cell>
        </row>
        <row r="15">
          <cell r="G15">
            <v>70</v>
          </cell>
        </row>
        <row r="16">
          <cell r="G16">
            <v>10326</v>
          </cell>
        </row>
        <row r="17">
          <cell r="G17">
            <v>48</v>
          </cell>
        </row>
        <row r="18">
          <cell r="G18">
            <v>200</v>
          </cell>
        </row>
        <row r="19">
          <cell r="G19">
            <v>30734</v>
          </cell>
        </row>
        <row r="25">
          <cell r="G25">
            <v>2701</v>
          </cell>
        </row>
        <row r="27">
          <cell r="G27">
            <v>2441</v>
          </cell>
        </row>
        <row r="29">
          <cell r="G29">
            <v>640</v>
          </cell>
        </row>
        <row r="30">
          <cell r="G30">
            <v>1794</v>
          </cell>
        </row>
        <row r="31">
          <cell r="G31">
            <v>809</v>
          </cell>
        </row>
        <row r="32">
          <cell r="G32">
            <v>0</v>
          </cell>
        </row>
        <row r="43">
          <cell r="G43">
            <v>3450</v>
          </cell>
        </row>
        <row r="45">
          <cell r="G45">
            <v>863</v>
          </cell>
        </row>
        <row r="48">
          <cell r="G48">
            <v>132</v>
          </cell>
        </row>
      </sheetData>
      <sheetData sheetId="31">
        <row r="2">
          <cell r="AF2">
            <v>86</v>
          </cell>
        </row>
        <row r="3">
          <cell r="AF3">
            <v>47072</v>
          </cell>
        </row>
        <row r="6">
          <cell r="AF6">
            <v>81737</v>
          </cell>
        </row>
        <row r="7">
          <cell r="AF7">
            <v>78</v>
          </cell>
        </row>
        <row r="8">
          <cell r="AF8">
            <v>41740</v>
          </cell>
        </row>
        <row r="14">
          <cell r="AF14">
            <v>82727</v>
          </cell>
        </row>
        <row r="15">
          <cell r="AF15">
            <v>59</v>
          </cell>
        </row>
        <row r="16">
          <cell r="AF16">
            <v>17253</v>
          </cell>
        </row>
        <row r="17">
          <cell r="AF17">
            <v>48</v>
          </cell>
        </row>
        <row r="18">
          <cell r="AF18">
            <v>167</v>
          </cell>
        </row>
        <row r="19">
          <cell r="AF19">
            <v>42600</v>
          </cell>
        </row>
        <row r="21">
          <cell r="AF21">
            <v>2939</v>
          </cell>
        </row>
        <row r="23">
          <cell r="AF23">
            <v>1030</v>
          </cell>
        </row>
        <row r="25">
          <cell r="AF25">
            <v>243</v>
          </cell>
        </row>
        <row r="26">
          <cell r="AF26">
            <v>684</v>
          </cell>
        </row>
        <row r="27">
          <cell r="AF27">
            <v>516</v>
          </cell>
        </row>
        <row r="28">
          <cell r="AF28">
            <v>0</v>
          </cell>
        </row>
        <row r="39">
          <cell r="AF39">
            <v>1874</v>
          </cell>
        </row>
        <row r="41">
          <cell r="AF41">
            <v>884</v>
          </cell>
        </row>
        <row r="44">
          <cell r="AF44">
            <v>101</v>
          </cell>
        </row>
      </sheetData>
      <sheetData sheetId="32">
        <row r="2">
          <cell r="AF2">
            <v>80</v>
          </cell>
        </row>
        <row r="3">
          <cell r="AF3">
            <v>130089</v>
          </cell>
        </row>
        <row r="6">
          <cell r="AF6">
            <v>138207</v>
          </cell>
        </row>
        <row r="7">
          <cell r="AF7">
            <v>108</v>
          </cell>
        </row>
        <row r="8">
          <cell r="AF8">
            <v>108725</v>
          </cell>
        </row>
        <row r="14">
          <cell r="AF14">
            <v>182807</v>
          </cell>
        </row>
        <row r="15">
          <cell r="AF15">
            <v>52</v>
          </cell>
        </row>
        <row r="16">
          <cell r="AF16">
            <v>19829</v>
          </cell>
        </row>
        <row r="17">
          <cell r="AF17">
            <v>44</v>
          </cell>
        </row>
        <row r="18">
          <cell r="AF18">
            <v>215</v>
          </cell>
        </row>
        <row r="19">
          <cell r="AF19">
            <v>56905.97</v>
          </cell>
        </row>
        <row r="21">
          <cell r="AF21">
            <v>1114</v>
          </cell>
        </row>
        <row r="23">
          <cell r="AF23">
            <v>851</v>
          </cell>
        </row>
        <row r="25">
          <cell r="AF25">
            <v>119</v>
          </cell>
        </row>
        <row r="26">
          <cell r="AF26">
            <v>191</v>
          </cell>
        </row>
        <row r="27">
          <cell r="AF27">
            <v>228</v>
          </cell>
        </row>
        <row r="28">
          <cell r="AF28">
            <v>0</v>
          </cell>
        </row>
        <row r="39">
          <cell r="AF39">
            <v>421</v>
          </cell>
        </row>
        <row r="41">
          <cell r="AF41">
            <v>466</v>
          </cell>
        </row>
        <row r="44">
          <cell r="AF44">
            <v>120</v>
          </cell>
        </row>
      </sheetData>
      <sheetData sheetId="33">
        <row r="2">
          <cell r="AF2">
            <v>67</v>
          </cell>
        </row>
        <row r="3">
          <cell r="AF3">
            <v>41605</v>
          </cell>
        </row>
        <row r="6">
          <cell r="AF6">
            <v>97060</v>
          </cell>
        </row>
        <row r="7">
          <cell r="AF7">
            <v>80</v>
          </cell>
        </row>
        <row r="8">
          <cell r="AF8">
            <v>112280</v>
          </cell>
        </row>
        <row r="14">
          <cell r="AF14">
            <v>205034</v>
          </cell>
        </row>
        <row r="15">
          <cell r="AF15">
            <v>37</v>
          </cell>
        </row>
        <row r="16">
          <cell r="AF16">
            <v>27225</v>
          </cell>
        </row>
        <row r="17">
          <cell r="AF17">
            <v>38</v>
          </cell>
        </row>
        <row r="18">
          <cell r="AF18">
            <v>174</v>
          </cell>
        </row>
        <row r="19">
          <cell r="AF19">
            <v>64015</v>
          </cell>
        </row>
        <row r="21">
          <cell r="AF21">
            <v>1084</v>
          </cell>
        </row>
        <row r="23">
          <cell r="AF23">
            <v>640</v>
          </cell>
        </row>
        <row r="25">
          <cell r="AF25">
            <v>2382</v>
          </cell>
        </row>
        <row r="26">
          <cell r="AF26">
            <v>1194</v>
          </cell>
        </row>
        <row r="27">
          <cell r="AF27">
            <v>1379</v>
          </cell>
        </row>
        <row r="28">
          <cell r="AF28">
            <v>0</v>
          </cell>
        </row>
        <row r="39">
          <cell r="AF39">
            <v>719</v>
          </cell>
        </row>
        <row r="41">
          <cell r="AF41">
            <v>915</v>
          </cell>
        </row>
        <row r="44">
          <cell r="AF44">
            <v>101</v>
          </cell>
        </row>
      </sheetData>
      <sheetData sheetId="34">
        <row r="2">
          <cell r="AF2">
            <v>100</v>
          </cell>
        </row>
        <row r="3">
          <cell r="AF3">
            <v>58475</v>
          </cell>
        </row>
        <row r="6">
          <cell r="AF6">
            <v>85515</v>
          </cell>
        </row>
        <row r="7">
          <cell r="AF7">
            <v>100</v>
          </cell>
        </row>
        <row r="8">
          <cell r="AF8">
            <v>118465</v>
          </cell>
        </row>
        <row r="14">
          <cell r="AF14">
            <v>167190</v>
          </cell>
        </row>
        <row r="15">
          <cell r="AF15">
            <v>64</v>
          </cell>
        </row>
        <row r="16">
          <cell r="AF16">
            <v>16348</v>
          </cell>
        </row>
        <row r="17">
          <cell r="AF17">
            <v>38</v>
          </cell>
        </row>
        <row r="18">
          <cell r="AF18">
            <v>6208</v>
          </cell>
        </row>
        <row r="19">
          <cell r="AF19">
            <v>9026</v>
          </cell>
        </row>
        <row r="20">
          <cell r="AF20">
            <v>3348</v>
          </cell>
        </row>
        <row r="21">
          <cell r="AF21">
            <v>168</v>
          </cell>
        </row>
        <row r="22">
          <cell r="AF22">
            <v>51348</v>
          </cell>
        </row>
        <row r="34">
          <cell r="AF34">
            <v>1495</v>
          </cell>
        </row>
        <row r="36">
          <cell r="AF36">
            <v>2336</v>
          </cell>
        </row>
        <row r="39">
          <cell r="AF39">
            <v>123</v>
          </cell>
        </row>
      </sheetData>
      <sheetData sheetId="35">
        <row r="2">
          <cell r="AF2">
            <v>82</v>
          </cell>
        </row>
        <row r="3">
          <cell r="AF3">
            <v>74540</v>
          </cell>
        </row>
        <row r="6">
          <cell r="AF6">
            <v>70518</v>
          </cell>
        </row>
        <row r="7">
          <cell r="AF7">
            <v>68</v>
          </cell>
        </row>
        <row r="8">
          <cell r="AF8">
            <v>91558</v>
          </cell>
        </row>
        <row r="14">
          <cell r="AF14">
            <v>125343</v>
          </cell>
        </row>
        <row r="15">
          <cell r="AF15">
            <v>62</v>
          </cell>
        </row>
        <row r="16">
          <cell r="AF16">
            <v>10130</v>
          </cell>
        </row>
        <row r="17">
          <cell r="AF17">
            <v>51</v>
          </cell>
        </row>
        <row r="18">
          <cell r="AF18">
            <v>126</v>
          </cell>
        </row>
        <row r="19">
          <cell r="AF19">
            <v>41438</v>
          </cell>
        </row>
        <row r="31">
          <cell r="AF31">
            <v>2610</v>
          </cell>
        </row>
        <row r="33">
          <cell r="AF33">
            <v>1906</v>
          </cell>
        </row>
        <row r="36">
          <cell r="AF36">
            <v>105</v>
          </cell>
        </row>
      </sheetData>
      <sheetData sheetId="36">
        <row r="2">
          <cell r="AF2">
            <v>106</v>
          </cell>
        </row>
        <row r="3">
          <cell r="AF3">
            <v>62989</v>
          </cell>
        </row>
        <row r="6">
          <cell r="AF6">
            <v>67131</v>
          </cell>
        </row>
        <row r="7">
          <cell r="AF7">
            <v>82</v>
          </cell>
        </row>
        <row r="8">
          <cell r="AF8">
            <v>65011</v>
          </cell>
        </row>
        <row r="14">
          <cell r="AF14">
            <v>113040</v>
          </cell>
        </row>
        <row r="15">
          <cell r="AF15">
            <v>111</v>
          </cell>
        </row>
        <row r="16">
          <cell r="AF16">
            <v>20330</v>
          </cell>
        </row>
        <row r="17">
          <cell r="AF17">
            <v>56</v>
          </cell>
        </row>
        <row r="18">
          <cell r="AF18">
            <v>265</v>
          </cell>
        </row>
        <row r="19">
          <cell r="AF19">
            <v>69425</v>
          </cell>
        </row>
        <row r="31">
          <cell r="AF31">
            <v>2730</v>
          </cell>
        </row>
        <row r="33">
          <cell r="AF33">
            <v>2545</v>
          </cell>
        </row>
        <row r="36">
          <cell r="AF36">
            <v>151</v>
          </cell>
        </row>
      </sheetData>
      <sheetData sheetId="37">
        <row r="2">
          <cell r="AF2">
            <v>92</v>
          </cell>
        </row>
        <row r="3">
          <cell r="AF3">
            <v>39950</v>
          </cell>
        </row>
        <row r="6">
          <cell r="AF6">
            <v>50910</v>
          </cell>
        </row>
        <row r="7">
          <cell r="AF7">
            <v>113</v>
          </cell>
        </row>
        <row r="8">
          <cell r="AF8">
            <v>90580</v>
          </cell>
        </row>
        <row r="14">
          <cell r="AF14">
            <v>210780</v>
          </cell>
        </row>
        <row r="15">
          <cell r="AF15">
            <v>80</v>
          </cell>
        </row>
        <row r="16">
          <cell r="AF16">
            <v>18258</v>
          </cell>
        </row>
        <row r="17">
          <cell r="AF17">
            <v>40</v>
          </cell>
        </row>
        <row r="18">
          <cell r="AF18">
            <v>247</v>
          </cell>
        </row>
        <row r="19">
          <cell r="AF19">
            <v>85528</v>
          </cell>
        </row>
        <row r="31">
          <cell r="AF31">
            <v>868</v>
          </cell>
        </row>
        <row r="33">
          <cell r="AF33">
            <v>1251</v>
          </cell>
        </row>
        <row r="36">
          <cell r="AF36">
            <v>115</v>
          </cell>
        </row>
      </sheetData>
      <sheetData sheetId="38">
        <row r="2">
          <cell r="AF2">
            <v>95</v>
          </cell>
        </row>
        <row r="3">
          <cell r="AF3">
            <v>57123</v>
          </cell>
        </row>
        <row r="6">
          <cell r="AF6">
            <v>99378</v>
          </cell>
        </row>
        <row r="7">
          <cell r="AF7">
            <v>83</v>
          </cell>
        </row>
        <row r="8">
          <cell r="AF8">
            <v>92545</v>
          </cell>
        </row>
        <row r="14">
          <cell r="AF14">
            <v>205100</v>
          </cell>
        </row>
        <row r="15">
          <cell r="AF15">
            <v>53</v>
          </cell>
        </row>
        <row r="16">
          <cell r="AF16">
            <v>12445</v>
          </cell>
        </row>
        <row r="17">
          <cell r="AF17">
            <v>45</v>
          </cell>
        </row>
        <row r="18">
          <cell r="AF18">
            <v>146</v>
          </cell>
        </row>
        <row r="19">
          <cell r="AF19">
            <v>73500</v>
          </cell>
        </row>
        <row r="29">
          <cell r="AF29">
            <v>786</v>
          </cell>
        </row>
        <row r="31">
          <cell r="AF31">
            <v>1405</v>
          </cell>
        </row>
        <row r="34">
          <cell r="AF34">
            <v>108</v>
          </cell>
        </row>
      </sheetData>
      <sheetData sheetId="39">
        <row r="2">
          <cell r="AE2">
            <v>158</v>
          </cell>
        </row>
        <row r="3">
          <cell r="AE3">
            <v>68541</v>
          </cell>
        </row>
        <row r="6">
          <cell r="AE6">
            <v>92588</v>
          </cell>
        </row>
        <row r="7">
          <cell r="AE7">
            <v>122</v>
          </cell>
        </row>
        <row r="8">
          <cell r="AE8">
            <v>91359</v>
          </cell>
        </row>
        <row r="14">
          <cell r="AE14">
            <v>215038</v>
          </cell>
        </row>
        <row r="15">
          <cell r="AE15">
            <v>95</v>
          </cell>
        </row>
        <row r="16">
          <cell r="AE16">
            <v>20709</v>
          </cell>
        </row>
        <row r="17">
          <cell r="AE17">
            <v>73</v>
          </cell>
        </row>
        <row r="18">
          <cell r="AE18">
            <v>247</v>
          </cell>
        </row>
        <row r="19">
          <cell r="AE19">
            <v>57955</v>
          </cell>
        </row>
        <row r="29">
          <cell r="AE29">
            <v>1369</v>
          </cell>
        </row>
        <row r="31">
          <cell r="AE31">
            <v>2233</v>
          </cell>
        </row>
        <row r="34">
          <cell r="AE34">
            <v>153</v>
          </cell>
        </row>
      </sheetData>
      <sheetData sheetId="40">
        <row r="2">
          <cell r="AE2">
            <v>94</v>
          </cell>
        </row>
        <row r="3">
          <cell r="AE3">
            <v>26683.5</v>
          </cell>
        </row>
        <row r="6">
          <cell r="AE6">
            <v>77973</v>
          </cell>
        </row>
        <row r="7">
          <cell r="AE7">
            <v>70</v>
          </cell>
        </row>
        <row r="8">
          <cell r="AE8">
            <v>130083</v>
          </cell>
        </row>
        <row r="14">
          <cell r="AE14">
            <v>232824</v>
          </cell>
        </row>
        <row r="15">
          <cell r="AE15">
            <v>85</v>
          </cell>
        </row>
        <row r="16">
          <cell r="AE16">
            <v>20145</v>
          </cell>
        </row>
        <row r="17">
          <cell r="AE17">
            <v>49</v>
          </cell>
        </row>
        <row r="18">
          <cell r="AE18">
            <v>171</v>
          </cell>
        </row>
        <row r="19">
          <cell r="AE19">
            <v>36878</v>
          </cell>
        </row>
        <row r="30">
          <cell r="AE30">
            <v>122</v>
          </cell>
        </row>
      </sheetData>
      <sheetData sheetId="41">
        <row r="2">
          <cell r="AF2">
            <v>110</v>
          </cell>
        </row>
        <row r="3">
          <cell r="AF3">
            <v>56253</v>
          </cell>
        </row>
        <row r="6">
          <cell r="AF6">
            <v>121501</v>
          </cell>
        </row>
        <row r="7">
          <cell r="AF7">
            <v>134</v>
          </cell>
        </row>
        <row r="8">
          <cell r="AF8">
            <v>87526</v>
          </cell>
        </row>
        <row r="14">
          <cell r="AF14">
            <v>288495</v>
          </cell>
        </row>
        <row r="15">
          <cell r="AF15">
            <v>59</v>
          </cell>
        </row>
        <row r="16">
          <cell r="AF16">
            <v>15227</v>
          </cell>
        </row>
        <row r="17">
          <cell r="AF17">
            <v>42</v>
          </cell>
        </row>
        <row r="18">
          <cell r="AF18">
            <v>179</v>
          </cell>
        </row>
        <row r="19">
          <cell r="AF19">
            <v>64252</v>
          </cell>
        </row>
        <row r="30">
          <cell r="AF30">
            <v>139</v>
          </cell>
        </row>
      </sheetData>
      <sheetData sheetId="42">
        <row r="2">
          <cell r="AE2">
            <v>131</v>
          </cell>
        </row>
        <row r="3">
          <cell r="AE3">
            <v>58096</v>
          </cell>
        </row>
        <row r="6">
          <cell r="AE6">
            <v>118086</v>
          </cell>
        </row>
        <row r="7">
          <cell r="AE7">
            <v>76</v>
          </cell>
        </row>
        <row r="8">
          <cell r="AE8">
            <v>19217</v>
          </cell>
        </row>
        <row r="14">
          <cell r="AE14">
            <v>289901</v>
          </cell>
        </row>
        <row r="15">
          <cell r="AE15">
            <v>72</v>
          </cell>
        </row>
        <row r="16">
          <cell r="AE16">
            <v>9585</v>
          </cell>
        </row>
        <row r="19">
          <cell r="AE19">
            <v>55</v>
          </cell>
        </row>
        <row r="20">
          <cell r="AE20">
            <v>147</v>
          </cell>
        </row>
        <row r="21">
          <cell r="AE21">
            <v>24699</v>
          </cell>
        </row>
        <row r="32">
          <cell r="AE32">
            <v>155</v>
          </cell>
        </row>
      </sheetData>
      <sheetData sheetId="43">
        <row r="2">
          <cell r="AE2">
            <v>138</v>
          </cell>
        </row>
        <row r="3">
          <cell r="AE3">
            <v>55362</v>
          </cell>
        </row>
        <row r="6">
          <cell r="AE6">
            <v>93154</v>
          </cell>
        </row>
        <row r="7">
          <cell r="AE7">
            <v>93</v>
          </cell>
        </row>
        <row r="8">
          <cell r="AE8">
            <v>60712</v>
          </cell>
        </row>
        <row r="14">
          <cell r="AE14">
            <v>295370</v>
          </cell>
        </row>
        <row r="15">
          <cell r="AE15">
            <v>39</v>
          </cell>
        </row>
        <row r="16">
          <cell r="AE16">
            <v>10281</v>
          </cell>
        </row>
        <row r="20">
          <cell r="AE20">
            <v>113</v>
          </cell>
        </row>
        <row r="21">
          <cell r="AE21">
            <v>27290</v>
          </cell>
        </row>
      </sheetData>
      <sheetData sheetId="44">
        <row r="2">
          <cell r="AE2">
            <v>125</v>
          </cell>
        </row>
        <row r="3">
          <cell r="AE3">
            <v>39569</v>
          </cell>
        </row>
        <row r="6">
          <cell r="AE6">
            <v>88065</v>
          </cell>
        </row>
        <row r="7">
          <cell r="AE7">
            <v>123</v>
          </cell>
        </row>
        <row r="8">
          <cell r="AE8">
            <v>183450</v>
          </cell>
        </row>
        <row r="14">
          <cell r="AE14">
            <v>301980</v>
          </cell>
        </row>
        <row r="15">
          <cell r="AE15">
            <v>55</v>
          </cell>
        </row>
        <row r="16">
          <cell r="AE16">
            <v>11536</v>
          </cell>
        </row>
        <row r="20">
          <cell r="AE20">
            <v>194</v>
          </cell>
        </row>
        <row r="21">
          <cell r="AE21">
            <v>46288</v>
          </cell>
        </row>
      </sheetData>
      <sheetData sheetId="45">
        <row r="2">
          <cell r="AE2">
            <v>192</v>
          </cell>
        </row>
        <row r="3">
          <cell r="AE3">
            <v>75424</v>
          </cell>
        </row>
        <row r="6">
          <cell r="AE6">
            <v>95128</v>
          </cell>
        </row>
        <row r="7">
          <cell r="AE7">
            <v>180</v>
          </cell>
        </row>
        <row r="8">
          <cell r="AE8">
            <v>157345</v>
          </cell>
        </row>
        <row r="14">
          <cell r="AE14">
            <v>175064</v>
          </cell>
        </row>
        <row r="15">
          <cell r="AE15">
            <v>64</v>
          </cell>
        </row>
        <row r="16">
          <cell r="AE16">
            <v>8903</v>
          </cell>
        </row>
        <row r="20">
          <cell r="AE20">
            <v>218</v>
          </cell>
        </row>
        <row r="21">
          <cell r="AE21">
            <v>69458</v>
          </cell>
        </row>
      </sheetData>
      <sheetData sheetId="46">
        <row r="2">
          <cell r="AC2">
            <v>94</v>
          </cell>
        </row>
        <row r="3">
          <cell r="AC3">
            <v>69404</v>
          </cell>
        </row>
        <row r="6">
          <cell r="AC6">
            <v>118932</v>
          </cell>
        </row>
        <row r="7">
          <cell r="AC7">
            <v>104</v>
          </cell>
        </row>
        <row r="8">
          <cell r="AC8">
            <v>70102</v>
          </cell>
        </row>
        <row r="14">
          <cell r="AC14">
            <v>93943</v>
          </cell>
        </row>
        <row r="15">
          <cell r="AC15">
            <v>36</v>
          </cell>
        </row>
        <row r="16">
          <cell r="AC16">
            <v>4843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ry result"/>
    </sheetNames>
    <sheetDataSet>
      <sheetData sheetId="0">
        <row r="2">
          <cell r="B2">
            <v>6201.6699999999191</v>
          </cell>
        </row>
        <row r="3">
          <cell r="B3">
            <v>1952.6599999999994</v>
          </cell>
        </row>
        <row r="4">
          <cell r="B4">
            <v>740.24000000000012</v>
          </cell>
        </row>
        <row r="5">
          <cell r="B5">
            <v>2892.66</v>
          </cell>
        </row>
        <row r="6">
          <cell r="B6">
            <v>4134.8500000000013</v>
          </cell>
        </row>
        <row r="7">
          <cell r="B7">
            <v>4406.0400000000009</v>
          </cell>
        </row>
        <row r="8">
          <cell r="B8">
            <v>3027.7400000000048</v>
          </cell>
        </row>
        <row r="9">
          <cell r="B9">
            <v>2321.0100000000002</v>
          </cell>
        </row>
        <row r="10">
          <cell r="B10">
            <v>1483.069999999999</v>
          </cell>
        </row>
        <row r="11">
          <cell r="B11">
            <v>2014.7500000000011</v>
          </cell>
        </row>
        <row r="12">
          <cell r="B12">
            <v>2680.7699999999995</v>
          </cell>
        </row>
        <row r="13">
          <cell r="B13">
            <v>3759.9199999999987</v>
          </cell>
        </row>
        <row r="14">
          <cell r="B14">
            <v>3789.6400000000021</v>
          </cell>
        </row>
        <row r="15">
          <cell r="B15">
            <v>5936.51</v>
          </cell>
        </row>
        <row r="16">
          <cell r="B16">
            <v>7660.3600000000042</v>
          </cell>
        </row>
        <row r="17">
          <cell r="B17">
            <v>6112.0499999999993</v>
          </cell>
        </row>
        <row r="18">
          <cell r="B18">
            <v>6406.4800000000068</v>
          </cell>
        </row>
        <row r="19">
          <cell r="B19">
            <v>7984.439999999996</v>
          </cell>
        </row>
        <row r="20">
          <cell r="B20">
            <v>7689.239999999998</v>
          </cell>
        </row>
        <row r="21">
          <cell r="B21">
            <v>9476.2100000000082</v>
          </cell>
        </row>
        <row r="22">
          <cell r="B22">
            <v>8505.7899999999936</v>
          </cell>
        </row>
        <row r="23">
          <cell r="B23">
            <v>7800.3700000000063</v>
          </cell>
        </row>
        <row r="24">
          <cell r="B24">
            <v>7067.3499999999995</v>
          </cell>
        </row>
        <row r="25">
          <cell r="B25">
            <v>8015.7799999999979</v>
          </cell>
        </row>
        <row r="26">
          <cell r="B26">
            <v>6854.6600000000026</v>
          </cell>
        </row>
        <row r="27">
          <cell r="B27">
            <v>11231.120000000014</v>
          </cell>
        </row>
        <row r="28">
          <cell r="B28">
            <v>15001.139999999996</v>
          </cell>
        </row>
        <row r="29">
          <cell r="B29">
            <v>15469.73</v>
          </cell>
        </row>
        <row r="30">
          <cell r="B30">
            <v>17931.719999999998</v>
          </cell>
        </row>
        <row r="31">
          <cell r="B31">
            <v>20922.020000000026</v>
          </cell>
        </row>
        <row r="32">
          <cell r="B32">
            <v>17217.55000000001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8FEF2E-EAFC-4F90-8BD2-5C81919BBBC4}" name="Table1" displayName="Table1" ref="A1:AR35" totalsRowShown="0" headerRowDxfId="39" headerRowBorderDxfId="37" tableBorderDxfId="38" headerRowCellStyle="Heading 3">
  <autoFilter ref="A1:AR35" xr:uid="{B2233FAE-3509-45FC-A75A-FE3132F800E6}"/>
  <tableColumns count="44">
    <tableColumn id="1" xr3:uid="{A145EBEE-C97C-460E-A33F-1D7BB5E16299}" name="Data"/>
    <tableColumn id="2" xr3:uid="{29C76353-2966-4705-9356-5C131003C651}" name="Oct-22" dataDxfId="36" dataCellStyle="Calculation"/>
    <tableColumn id="3" xr3:uid="{97D9B2E0-2CE3-4506-8389-A47538729126}" name="Nov-22" dataDxfId="35" dataCellStyle="Calculation"/>
    <tableColumn id="4" xr3:uid="{AC13101C-0565-4052-8E40-60CAC8BC2895}" name="Dec-22" dataDxfId="34" dataCellStyle="Calculation"/>
    <tableColumn id="5" xr3:uid="{8F7DB7A0-B42D-4D12-A95E-08F812B2FB5E}" name="Jan-23" dataDxfId="33" dataCellStyle="Calculation"/>
    <tableColumn id="6" xr3:uid="{3750A268-F577-4EC5-AB2A-1A48468E2EF8}" name="Feb-23" dataDxfId="32" dataCellStyle="Calculation"/>
    <tableColumn id="7" xr3:uid="{D1A71218-F656-47E4-AAA6-A7616B23C716}" name="Mar-23" dataDxfId="31" dataCellStyle="Calculation"/>
    <tableColumn id="8" xr3:uid="{9A705077-1651-429C-BCA0-089ADF71A334}" name="Apr-23" dataDxfId="30" dataCellStyle="Calculation"/>
    <tableColumn id="9" xr3:uid="{EAD5C7C6-B2D8-4134-960C-265F8D8E017B}" name="May-23" dataDxfId="29" dataCellStyle="Calculation"/>
    <tableColumn id="10" xr3:uid="{CE7EE30C-19DA-4599-9A67-147A59D61DEB}" name="Jun-23" dataDxfId="28" dataCellStyle="Calculation"/>
    <tableColumn id="11" xr3:uid="{342B2664-17A3-4BAF-9DB3-30697E6BA99D}" name="Jul-23" dataDxfId="27" dataCellStyle="Calculation"/>
    <tableColumn id="12" xr3:uid="{A0CD3A88-0A84-4151-93B4-452C4FB64CF8}" name="Aug-23" dataDxfId="26" dataCellStyle="Calculation"/>
    <tableColumn id="13" xr3:uid="{FDF9A3C4-1460-41D6-B58A-32EEE98E1B1F}" name="Sep-23" dataDxfId="25" dataCellStyle="Calculation"/>
    <tableColumn id="14" xr3:uid="{F71F9383-C484-4965-A9F4-FC94E9B7B948}" name="Oct-23" dataDxfId="24" dataCellStyle="Calculation"/>
    <tableColumn id="15" xr3:uid="{A108CAC8-498B-437C-9198-71E70A1F0E39}" name="Nov-23" dataDxfId="23" dataCellStyle="Calculation"/>
    <tableColumn id="16" xr3:uid="{C2E346C9-0C83-491E-9518-41BBD778F49F}" name="Dec-23" dataDxfId="22" dataCellStyle="Calculation"/>
    <tableColumn id="17" xr3:uid="{CF9E9282-A3D6-4BF2-B208-571BD00E8F5A}" name="Jan-24"/>
    <tableColumn id="18" xr3:uid="{AB1F34D8-1031-4AC7-B81F-753B0867392A}" name="Feb-24"/>
    <tableColumn id="19" xr3:uid="{23E47160-D21A-4796-BCBC-A69AF35BE9FF}" name="Mar-24"/>
    <tableColumn id="20" xr3:uid="{7CD242DE-4BFC-45B6-8D75-C832009E0D6B}" name="Apr-24"/>
    <tableColumn id="21" xr3:uid="{F89FB87B-E3A4-47F1-97F0-722509A2387D}" name="May-24"/>
    <tableColumn id="22" xr3:uid="{38556FB8-A7CD-4BAB-94E3-91D1499C449F}" name="Jun-24" dataDxfId="21" dataCellStyle="Calculation"/>
    <tableColumn id="23" xr3:uid="{9809A6A8-F981-4C1B-B2EA-881483FFFE12}" name="Jul-24"/>
    <tableColumn id="24" xr3:uid="{83A8B67D-7DC7-4F48-932F-5655E94572DE}" name="Aug-24" dataDxfId="20">
      <calculatedColumnFormula>'[1]202408 daily'!G7</calculatedColumnFormula>
    </tableColumn>
    <tableColumn id="25" xr3:uid="{CF0367BE-E4D0-4F90-969E-776911CB988F}" name="Sep-24" dataDxfId="19">
      <calculatedColumnFormula>'[1]202409 daily'!G7</calculatedColumnFormula>
    </tableColumn>
    <tableColumn id="26" xr3:uid="{2922BC68-AEFE-42B3-9AC4-7295E0BC2335}" name="Oct-24" dataDxfId="18">
      <calculatedColumnFormula>'[1]202410 daily'!G7</calculatedColumnFormula>
    </tableColumn>
    <tableColumn id="27" xr3:uid="{2B49F0C0-F4F5-4EC4-8A9C-C0800AF593C8}" name="Nov-24" dataDxfId="17">
      <calculatedColumnFormula>'[1]202411 daily'!G7</calculatedColumnFormula>
    </tableColumn>
    <tableColumn id="28" xr3:uid="{1F0DA027-1F8A-44B0-B465-3EF3793589AE}" name="Dec-24" dataDxfId="16">
      <calculatedColumnFormula>'[1]202412 daily '!#REF!</calculatedColumnFormula>
    </tableColumn>
    <tableColumn id="29" xr3:uid="{96919C64-FD53-4F3A-9188-07F7990982A4}" name="Jan-25" dataDxfId="15">
      <calculatedColumnFormula>'[1]202501 daily '!G7</calculatedColumnFormula>
    </tableColumn>
    <tableColumn id="30" xr3:uid="{A4D9FA7F-73B9-45E6-9D62-547470E64727}" name="Feb-25" dataDxfId="14">
      <calculatedColumnFormula>'[1]202502 daily  '!G7</calculatedColumnFormula>
    </tableColumn>
    <tableColumn id="31" xr3:uid="{DA3B936D-3C80-4E0E-B92E-8229951E9263}" name="Mar-25" dataDxfId="13"/>
    <tableColumn id="32" xr3:uid="{00033B29-5955-4BF7-B91E-E147104DE28E}" name="Apr-25" dataDxfId="12"/>
    <tableColumn id="33" xr3:uid="{20F83515-7AC4-4EEA-BB0C-58F00F580098}" name="May-25" dataDxfId="11">
      <calculatedColumnFormula>'[1]202505 daily'!H7</calculatedColumnFormula>
    </tableColumn>
    <tableColumn id="37" xr3:uid="{4115B1A1-025A-4958-B4EE-2AC26DE4108F}" name="Jun-25" dataDxfId="10">
      <calculatedColumnFormula>'[1]202506 daily'!G7</calculatedColumnFormula>
    </tableColumn>
    <tableColumn id="38" xr3:uid="{BDCCC620-61BD-498A-AD69-DE21CDDA8609}" name="Jul-25" dataDxfId="9" dataCellStyle="Calculation">
      <calculatedColumnFormula>'[1]202507 daily'!G7</calculatedColumnFormula>
    </tableColumn>
    <tableColumn id="34" xr3:uid="{CBA3F671-036D-4E62-B259-714B1C3DF0C6}" name="Aug-25" dataDxfId="8">
      <calculatedColumnFormula>'[1]202508 daily'!G7</calculatedColumnFormula>
    </tableColumn>
    <tableColumn id="35" xr3:uid="{EA0CA268-66C3-4E4B-8206-4816BD645FE2}" name="Sep-25" dataDxfId="7"/>
    <tableColumn id="36" xr3:uid="{2D96FBA9-0B7A-4B37-8D6D-6DCE8A8532E3}" name="Oct-25" dataDxfId="6" dataCellStyle="Calculation"/>
    <tableColumn id="39" xr3:uid="{E6595F75-E9A5-469A-B6FC-08E2DF20DDA2}" name="Nov-25" dataDxfId="5"/>
    <tableColumn id="42" xr3:uid="{DD67C001-4433-4870-8E2F-D863E5FD497F}" name="Dec-25" dataDxfId="4" dataCellStyle="Calculation"/>
    <tableColumn id="40" xr3:uid="{C995847B-FD5F-4AA3-8E25-70E02A1D40D7}" name="Jan-26" dataDxfId="3"/>
    <tableColumn id="41" xr3:uid="{A6565D25-E3AF-4ADB-83AD-0B22585B30A1}" name="Feb-26" dataDxfId="2"/>
    <tableColumn id="43" xr3:uid="{E35DFA90-CA38-4C52-9698-8441C66A4D69}" name="Mar-26" dataDxfId="1"/>
    <tableColumn id="44" xr3:uid="{E677D8D4-5620-4B31-86E4-A405FDA283E5}" name="Apr-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AF4F-6BE5-48D5-8BC4-79A4B8CF5C6F}">
  <dimension ref="A1:AR88"/>
  <sheetViews>
    <sheetView tabSelected="1" zoomScale="110" zoomScaleNormal="110" workbookViewId="0">
      <pane xSplit="1" ySplit="1" topLeftCell="AJ20" activePane="bottomRight" state="frozen"/>
      <selection pane="topRight" activeCell="B1" sqref="B1"/>
      <selection pane="bottomLeft" activeCell="A2" sqref="A2"/>
      <selection pane="bottomRight" activeCell="AU28" sqref="AU28"/>
    </sheetView>
  </sheetViews>
  <sheetFormatPr defaultRowHeight="14.4" x14ac:dyDescent="0.3"/>
  <cols>
    <col min="1" max="1" width="28.44140625" bestFit="1" customWidth="1"/>
    <col min="2" max="2" width="10.44140625" bestFit="1" customWidth="1"/>
    <col min="3" max="4" width="11.5546875" bestFit="1" customWidth="1"/>
    <col min="5" max="10" width="10.44140625" bestFit="1" customWidth="1"/>
    <col min="11" max="11" width="10.44140625" customWidth="1"/>
    <col min="12" max="22" width="10.44140625" bestFit="1" customWidth="1"/>
    <col min="23" max="23" width="11" bestFit="1" customWidth="1"/>
    <col min="24" max="24" width="12.5546875" bestFit="1" customWidth="1"/>
    <col min="25" max="25" width="10.5546875" bestFit="1" customWidth="1"/>
    <col min="26" max="26" width="13.33203125" customWidth="1"/>
    <col min="27" max="27" width="12.5546875" customWidth="1"/>
    <col min="28" max="29" width="11.44140625" bestFit="1" customWidth="1"/>
    <col min="30" max="31" width="11.44140625" customWidth="1"/>
    <col min="32" max="32" width="10.33203125" bestFit="1" customWidth="1"/>
    <col min="33" max="37" width="10" bestFit="1" customWidth="1"/>
    <col min="38" max="38" width="10.5546875" bestFit="1" customWidth="1"/>
    <col min="39" max="39" width="10.44140625" bestFit="1" customWidth="1"/>
    <col min="40" max="40" width="10" bestFit="1" customWidth="1"/>
    <col min="41" max="41" width="11.5546875" bestFit="1" customWidth="1"/>
    <col min="42" max="42" width="10" bestFit="1" customWidth="1"/>
    <col min="43" max="43" width="11.6640625" bestFit="1" customWidth="1"/>
    <col min="44" max="44" width="10.33203125" bestFit="1" customWidth="1"/>
  </cols>
  <sheetData>
    <row r="1" spans="1:44" s="4" customFormat="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2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2" t="s">
        <v>43</v>
      </c>
    </row>
    <row r="2" spans="1:44" x14ac:dyDescent="0.3">
      <c r="A2" t="s">
        <v>44</v>
      </c>
      <c r="B2" s="5">
        <f>'[1]202210 daily'!AC7</f>
        <v>104</v>
      </c>
      <c r="C2" s="5">
        <f>'[1]202211 daily'!AE7</f>
        <v>180</v>
      </c>
      <c r="D2" s="5">
        <f>'[1]202212 daily'!AE7</f>
        <v>123</v>
      </c>
      <c r="E2" s="5">
        <f>'[1]202301 daily'!AE7</f>
        <v>93</v>
      </c>
      <c r="F2" s="5">
        <f>'[1]202302 daily'!AE7</f>
        <v>76</v>
      </c>
      <c r="G2" s="5">
        <f>'[1]202303 daily'!AF7</f>
        <v>134</v>
      </c>
      <c r="H2" s="5">
        <f>'[1]202304 daily'!AE7</f>
        <v>70</v>
      </c>
      <c r="I2" s="5">
        <f>'[1]202305 daily'!AE7</f>
        <v>122</v>
      </c>
      <c r="J2" s="5">
        <f>'[1]202306 daily'!AF7</f>
        <v>83</v>
      </c>
      <c r="K2" s="5">
        <f>'[1]202307 daily'!AF7</f>
        <v>113</v>
      </c>
      <c r="L2" s="5">
        <f>'[1]202308 daily'!AF7</f>
        <v>82</v>
      </c>
      <c r="M2" s="5">
        <f>'[1]202309 daily'!AF7</f>
        <v>68</v>
      </c>
      <c r="N2" s="5">
        <f>'[1]202310 daily'!AF7</f>
        <v>100</v>
      </c>
      <c r="O2" s="5">
        <f>'[1]202311 daily'!AF7</f>
        <v>80</v>
      </c>
      <c r="P2" s="5">
        <f>'[1]202312 daily'!AF7</f>
        <v>108</v>
      </c>
      <c r="Q2" s="5">
        <f>'[1]202401 daily '!AF7</f>
        <v>78</v>
      </c>
      <c r="R2" s="5">
        <f>'[1]202402 daily'!G7</f>
        <v>58</v>
      </c>
      <c r="S2" s="5">
        <f>'[1]202403 daily'!E7</f>
        <v>64</v>
      </c>
      <c r="T2" s="5">
        <f>'[1]202404 daily'!E7-7</f>
        <v>109</v>
      </c>
      <c r="U2" s="5">
        <f>'[1]202405 daily'!E7-7</f>
        <v>126</v>
      </c>
      <c r="V2" s="5">
        <f>'[1]202406 daily'!E7-6</f>
        <v>113</v>
      </c>
      <c r="W2" s="5">
        <f>'[1]202407 daily'!G7-1</f>
        <v>136</v>
      </c>
      <c r="X2" s="5">
        <f>'[1]202408 daily'!G7</f>
        <v>109</v>
      </c>
      <c r="Y2" s="5">
        <f>'[1]202409 daily'!G7</f>
        <v>124</v>
      </c>
      <c r="Z2" s="5">
        <f>'[1]202410 daily'!G7</f>
        <v>206</v>
      </c>
      <c r="AA2" s="5">
        <f>'[1]202411 daily'!G7</f>
        <v>137</v>
      </c>
      <c r="AB2" s="5">
        <f>'[1]202412 daily '!E7</f>
        <v>189</v>
      </c>
      <c r="AC2" s="5">
        <f>'[1]202501 daily '!G7</f>
        <v>137</v>
      </c>
      <c r="AD2" s="5">
        <f>'[1]202502 daily  '!G7</f>
        <v>130</v>
      </c>
      <c r="AE2" s="5">
        <f>'[1]202503 daily  '!G7</f>
        <v>141</v>
      </c>
      <c r="AF2" s="5">
        <f>'[1]202504 daily'!G7</f>
        <v>195</v>
      </c>
      <c r="AG2" s="5">
        <f>'[1]202505 daily'!H7</f>
        <v>144</v>
      </c>
      <c r="AH2" s="5">
        <f>'[1]202506 daily'!G7</f>
        <v>141</v>
      </c>
      <c r="AI2" s="5">
        <f>'[1]202507 daily'!G7</f>
        <v>318</v>
      </c>
      <c r="AJ2" s="5">
        <f>'[1]202508 daily'!G7</f>
        <v>194</v>
      </c>
      <c r="AK2" s="5">
        <f>'[1]202509 daily'!G7</f>
        <v>205</v>
      </c>
      <c r="AL2" s="6">
        <v>55</v>
      </c>
      <c r="AM2" s="5">
        <f>'[1]202511 daily'!G7</f>
        <v>250</v>
      </c>
      <c r="AN2" s="5">
        <v>142</v>
      </c>
      <c r="AO2" s="7">
        <v>229</v>
      </c>
      <c r="AP2" s="7">
        <v>230</v>
      </c>
      <c r="AQ2" s="7">
        <v>254</v>
      </c>
      <c r="AR2" s="7">
        <v>207</v>
      </c>
    </row>
    <row r="3" spans="1:44" x14ac:dyDescent="0.3">
      <c r="A3" t="s">
        <v>45</v>
      </c>
      <c r="B3" s="5">
        <f>'[1]202210 daily'!AC8</f>
        <v>70102</v>
      </c>
      <c r="C3" s="5">
        <f>'[1]202211 daily'!AE8</f>
        <v>157345</v>
      </c>
      <c r="D3" s="5">
        <f>'[1]202212 daily'!AE8</f>
        <v>183450</v>
      </c>
      <c r="E3" s="5">
        <f>'[1]202301 daily'!AE8</f>
        <v>60712</v>
      </c>
      <c r="F3" s="5">
        <f>'[1]202302 daily'!AE8</f>
        <v>19217</v>
      </c>
      <c r="G3" s="5">
        <f>'[1]202303 daily'!AF8</f>
        <v>87526</v>
      </c>
      <c r="H3" s="5">
        <f>'[1]202304 daily'!AE8</f>
        <v>130083</v>
      </c>
      <c r="I3" s="5">
        <f>'[1]202305 daily'!AE8</f>
        <v>91359</v>
      </c>
      <c r="J3" s="5">
        <f>'[1]202306 daily'!AF8</f>
        <v>92545</v>
      </c>
      <c r="K3" s="5">
        <f>'[1]202307 daily'!AF8</f>
        <v>90580</v>
      </c>
      <c r="L3" s="5">
        <f>'[1]202308 daily'!AF8</f>
        <v>65011</v>
      </c>
      <c r="M3" s="5">
        <f>'[1]202309 daily'!AF8</f>
        <v>91558</v>
      </c>
      <c r="N3" s="5">
        <f>'[1]202310 daily'!AF8</f>
        <v>118465</v>
      </c>
      <c r="O3" s="5">
        <f>'[1]202311 daily'!AF8</f>
        <v>112280</v>
      </c>
      <c r="P3" s="5">
        <f>'[1]202312 daily'!AF8</f>
        <v>108725</v>
      </c>
      <c r="Q3" s="5">
        <f>'[1]202401 daily '!AF8</f>
        <v>41740</v>
      </c>
      <c r="R3" s="5">
        <f>'[1]202402 daily'!G8</f>
        <v>38425</v>
      </c>
      <c r="S3" s="5">
        <f>'[1]202403 daily'!E8</f>
        <v>129201</v>
      </c>
      <c r="T3" s="5">
        <f>'[1]202404 daily'!E8-64800</f>
        <v>55565</v>
      </c>
      <c r="U3" s="5">
        <f>'[1]202405 daily'!E8-64800</f>
        <v>100294</v>
      </c>
      <c r="V3" s="5">
        <f>'[1]202406 daily'!E8-64800</f>
        <v>40152</v>
      </c>
      <c r="W3" s="5">
        <f>'[1]202407 daily'!G8-10000</f>
        <v>109541</v>
      </c>
      <c r="X3" s="7">
        <f>'[1]202408 daily'!G8</f>
        <v>65100</v>
      </c>
      <c r="Y3" s="7">
        <f>'[1]202409 daily'!G8</f>
        <v>72260</v>
      </c>
      <c r="Z3" s="7">
        <f>'[1]202410 daily'!G8</f>
        <v>138541</v>
      </c>
      <c r="AA3" s="7">
        <f>'[1]202411 daily'!G8</f>
        <v>79843</v>
      </c>
      <c r="AB3" s="5">
        <f>'[1]202412 daily '!E8</f>
        <v>142308</v>
      </c>
      <c r="AC3" s="5">
        <f>'[1]202501 daily '!G8</f>
        <v>176784</v>
      </c>
      <c r="AD3" s="7">
        <f>'[1]202502 daily  '!G8</f>
        <v>121060</v>
      </c>
      <c r="AE3" s="5">
        <f>'[1]202503 daily  '!G8</f>
        <v>94125</v>
      </c>
      <c r="AF3" s="5">
        <f>'[1]202504 daily'!G8</f>
        <v>126790</v>
      </c>
      <c r="AG3" s="7">
        <f>'[1]202505 daily'!H8</f>
        <v>130750</v>
      </c>
      <c r="AH3" s="7">
        <f>'[1]202506 daily'!G8</f>
        <v>86429</v>
      </c>
      <c r="AI3" s="7">
        <v>149235</v>
      </c>
      <c r="AJ3" s="7">
        <f>'[1]202508 daily'!G8</f>
        <v>180547</v>
      </c>
      <c r="AK3" s="5">
        <f>'[1]202509 daily'!G8</f>
        <v>559077</v>
      </c>
      <c r="AL3" s="5">
        <v>26875</v>
      </c>
      <c r="AM3" s="5">
        <f>'[1]202511 daily'!G8</f>
        <v>335990</v>
      </c>
      <c r="AN3" s="5">
        <v>182364</v>
      </c>
      <c r="AO3" s="7">
        <v>348476</v>
      </c>
      <c r="AP3" s="7">
        <v>308155</v>
      </c>
      <c r="AQ3" s="7">
        <v>340690</v>
      </c>
      <c r="AR3" s="7">
        <v>248117</v>
      </c>
    </row>
    <row r="4" spans="1:44" x14ac:dyDescent="0.3">
      <c r="A4" t="s">
        <v>46</v>
      </c>
      <c r="B4" s="5">
        <f>'[1]202210 daily'!AC2</f>
        <v>94</v>
      </c>
      <c r="C4" s="5">
        <f>'[1]202211 daily'!AE2</f>
        <v>192</v>
      </c>
      <c r="D4" s="5">
        <f>'[1]202212 daily'!AE2</f>
        <v>125</v>
      </c>
      <c r="E4" s="5">
        <f>'[1]202301 daily'!AE2</f>
        <v>138</v>
      </c>
      <c r="F4" s="5">
        <f>'[1]202302 daily'!AE2</f>
        <v>131</v>
      </c>
      <c r="G4" s="5">
        <f>'[1]202303 daily'!AF2</f>
        <v>110</v>
      </c>
      <c r="H4" s="5">
        <f>'[1]202304 daily'!AE2</f>
        <v>94</v>
      </c>
      <c r="I4" s="5">
        <f>'[1]202305 daily'!AE2</f>
        <v>158</v>
      </c>
      <c r="J4" s="5">
        <f>'[1]202306 daily'!AF2</f>
        <v>95</v>
      </c>
      <c r="K4" s="5">
        <f>'[1]202307 daily'!AF2</f>
        <v>92</v>
      </c>
      <c r="L4" s="5">
        <f>'[1]202308 daily'!AF2</f>
        <v>106</v>
      </c>
      <c r="M4" s="5">
        <f>'[1]202309 daily'!AF2</f>
        <v>82</v>
      </c>
      <c r="N4" s="5">
        <f>'[1]202310 daily'!AF2</f>
        <v>100</v>
      </c>
      <c r="O4" s="5">
        <f>'[1]202311 daily'!AF2</f>
        <v>67</v>
      </c>
      <c r="P4" s="5">
        <f>'[1]202312 daily'!AF2</f>
        <v>80</v>
      </c>
      <c r="Q4" s="5">
        <f>'[1]202401 daily '!AF2</f>
        <v>86</v>
      </c>
      <c r="R4" s="5">
        <f>'[1]202402 daily'!G2</f>
        <v>129</v>
      </c>
      <c r="S4" s="5">
        <f>'[1]202403 daily'!E2</f>
        <v>120</v>
      </c>
      <c r="T4" s="5">
        <f>'[1]202404 daily'!E2</f>
        <v>101</v>
      </c>
      <c r="U4" s="5">
        <f>'[1]202405 daily'!E2</f>
        <v>182</v>
      </c>
      <c r="V4" s="5">
        <f>'[1]202406 daily'!E2</f>
        <v>182</v>
      </c>
      <c r="W4" s="5">
        <f>'[1]202407 daily'!G2-1</f>
        <v>276</v>
      </c>
      <c r="X4" s="5">
        <f>'[1]202408 daily'!G2</f>
        <v>243</v>
      </c>
      <c r="Y4" s="5">
        <f>'[1]202409 daily'!G2</f>
        <v>276</v>
      </c>
      <c r="Z4" s="7">
        <f>'[1]202410 daily'!G2</f>
        <v>273</v>
      </c>
      <c r="AA4" s="7">
        <f>'[1]202411 daily'!G2</f>
        <v>296</v>
      </c>
      <c r="AB4" s="7">
        <f>'[1]202412 daily '!E2</f>
        <v>303</v>
      </c>
      <c r="AC4" s="7">
        <f>'[1]202501 daily '!G2</f>
        <v>332</v>
      </c>
      <c r="AD4" s="7">
        <f>'[1]202502 daily  '!G2</f>
        <v>313</v>
      </c>
      <c r="AE4" s="7">
        <f>'[1]202503 daily  '!G2</f>
        <v>441</v>
      </c>
      <c r="AF4" s="7">
        <f>'[1]202504 daily'!G2</f>
        <v>321</v>
      </c>
      <c r="AG4" s="7">
        <f>'[1]202505 daily'!H2</f>
        <v>386</v>
      </c>
      <c r="AH4" s="7">
        <f>'[1]202506 daily'!G2</f>
        <v>365</v>
      </c>
      <c r="AI4" s="7">
        <f>'[1]202507 daily'!G2</f>
        <v>574</v>
      </c>
      <c r="AJ4" s="7">
        <f>'[1]202508 daily'!G2</f>
        <v>422</v>
      </c>
      <c r="AK4" s="7">
        <f>'[1]202509 daily'!G2</f>
        <v>445</v>
      </c>
      <c r="AL4" s="8">
        <v>266</v>
      </c>
      <c r="AM4" s="5">
        <f>'[1]202511 daily'!G2</f>
        <v>475</v>
      </c>
      <c r="AN4" s="5">
        <v>544</v>
      </c>
      <c r="AO4" s="7">
        <v>668</v>
      </c>
      <c r="AP4" s="7">
        <v>649</v>
      </c>
      <c r="AQ4" s="7">
        <v>633</v>
      </c>
      <c r="AR4" s="7">
        <v>620</v>
      </c>
    </row>
    <row r="5" spans="1:44" x14ac:dyDescent="0.3">
      <c r="A5" t="s">
        <v>47</v>
      </c>
      <c r="B5" s="5">
        <f>'[1]202210 daily'!AC3</f>
        <v>69404</v>
      </c>
      <c r="C5" s="5">
        <f>'[1]202211 daily'!AE3</f>
        <v>75424</v>
      </c>
      <c r="D5" s="5">
        <f>'[1]202212 daily'!AE3</f>
        <v>39569</v>
      </c>
      <c r="E5" s="5">
        <f>'[1]202301 daily'!AE3</f>
        <v>55362</v>
      </c>
      <c r="F5" s="5">
        <f>'[1]202302 daily'!AE3</f>
        <v>58096</v>
      </c>
      <c r="G5" s="5">
        <f>'[1]202303 daily'!AF3</f>
        <v>56253</v>
      </c>
      <c r="H5" s="5">
        <f>'[1]202304 daily'!AE3</f>
        <v>26683.5</v>
      </c>
      <c r="I5" s="5">
        <f>'[1]202305 daily'!AE3</f>
        <v>68541</v>
      </c>
      <c r="J5" s="5">
        <f>'[1]202306 daily'!AF3</f>
        <v>57123</v>
      </c>
      <c r="K5" s="5">
        <f>'[1]202307 daily'!AF3</f>
        <v>39950</v>
      </c>
      <c r="L5" s="5">
        <f>'[1]202308 daily'!AF3</f>
        <v>62989</v>
      </c>
      <c r="M5" s="5">
        <f>'[1]202309 daily'!AF3</f>
        <v>74540</v>
      </c>
      <c r="N5" s="5">
        <f>'[1]202310 daily'!AF3</f>
        <v>58475</v>
      </c>
      <c r="O5" s="5">
        <f>'[1]202311 daily'!AF3</f>
        <v>41605</v>
      </c>
      <c r="P5" s="5">
        <f>'[1]202312 daily'!AF3</f>
        <v>130089</v>
      </c>
      <c r="Q5" s="5">
        <f>'[1]202401 daily '!AF3</f>
        <v>47072</v>
      </c>
      <c r="R5" s="5">
        <f>'[1]202402 daily'!G3</f>
        <v>47325</v>
      </c>
      <c r="S5" s="5">
        <f>'[1]202403 daily'!E3</f>
        <v>54623</v>
      </c>
      <c r="T5" s="5">
        <f>'[1]202404 daily'!E3</f>
        <v>49440</v>
      </c>
      <c r="U5" s="5">
        <f>'[1]202405 daily'!E3</f>
        <v>162397</v>
      </c>
      <c r="V5" s="5">
        <f>'[1]202406 daily'!E3</f>
        <v>85194</v>
      </c>
      <c r="W5" s="5">
        <f>'[1]202407 daily'!G3-8000</f>
        <v>90540</v>
      </c>
      <c r="X5" s="5">
        <f>'[1]202408 daily'!G3</f>
        <v>253645</v>
      </c>
      <c r="Y5" s="5">
        <f>'[1]202409 daily'!G3-10000</f>
        <v>160548</v>
      </c>
      <c r="Z5" s="7">
        <f>'[1]202410 daily'!G3</f>
        <v>147154</v>
      </c>
      <c r="AA5" s="7">
        <f>'[1]202411 daily'!G3</f>
        <v>146898</v>
      </c>
      <c r="AB5" s="7">
        <f>'[1]202412 daily '!E3</f>
        <v>131249</v>
      </c>
      <c r="AC5" s="7">
        <f>'[1]202501 daily '!G3</f>
        <v>144673</v>
      </c>
      <c r="AD5" s="7">
        <f>'[1]202502 daily  '!G3</f>
        <v>110320</v>
      </c>
      <c r="AE5" s="7">
        <f>'[1]202503 daily  '!G3</f>
        <v>140644</v>
      </c>
      <c r="AF5" s="7">
        <f>'[1]202504 daily'!G3</f>
        <v>149925</v>
      </c>
      <c r="AG5" s="7">
        <f>'[1]202505 daily'!H3</f>
        <v>161964</v>
      </c>
      <c r="AH5" s="7">
        <f>'[1]202506 daily'!G3</f>
        <v>123067</v>
      </c>
      <c r="AI5" s="7">
        <f>186521</f>
        <v>186521</v>
      </c>
      <c r="AJ5" s="7">
        <f>'[1]202508 daily'!G3</f>
        <v>96478</v>
      </c>
      <c r="AK5" s="7">
        <f>'[1]202509 daily'!G3</f>
        <v>153356</v>
      </c>
      <c r="AL5" s="7">
        <v>104584</v>
      </c>
      <c r="AM5" s="5">
        <f>'[1]202511 daily'!G3</f>
        <v>434282</v>
      </c>
      <c r="AN5" s="5">
        <v>88003</v>
      </c>
      <c r="AO5" s="7">
        <v>745735.6</v>
      </c>
      <c r="AP5" s="7">
        <v>369700.45</v>
      </c>
      <c r="AQ5" s="7">
        <v>397220</v>
      </c>
      <c r="AR5" s="7">
        <v>432387</v>
      </c>
    </row>
    <row r="6" spans="1:44" x14ac:dyDescent="0.3">
      <c r="A6" t="s">
        <v>48</v>
      </c>
      <c r="B6" s="9">
        <v>21</v>
      </c>
      <c r="C6" s="5">
        <f>'[1]202211 daily'!AE20</f>
        <v>218</v>
      </c>
      <c r="D6" s="5">
        <f>'[1]202212 daily'!AE20</f>
        <v>194</v>
      </c>
      <c r="E6" s="5">
        <f>'[1]202301 daily'!AE20</f>
        <v>113</v>
      </c>
      <c r="F6" s="5">
        <f>'[1]202302 daily'!AE20</f>
        <v>147</v>
      </c>
      <c r="G6" s="5">
        <f>'[1]202303 daily'!AF18</f>
        <v>179</v>
      </c>
      <c r="H6" s="5">
        <f>'[1]202304 daily'!AE18</f>
        <v>171</v>
      </c>
      <c r="I6" s="5">
        <f>'[1]202305 daily'!AE18</f>
        <v>247</v>
      </c>
      <c r="J6" s="5">
        <f>'[1]202306 daily'!AF18</f>
        <v>146</v>
      </c>
      <c r="K6" s="5">
        <f>'[1]202307 daily'!AF18</f>
        <v>247</v>
      </c>
      <c r="L6" s="5">
        <f>'[1]202308 daily'!AF18</f>
        <v>265</v>
      </c>
      <c r="M6" s="5">
        <f>'[1]202309 daily'!AF18</f>
        <v>126</v>
      </c>
      <c r="N6" s="5">
        <f>'[1]202310 daily'!AF21</f>
        <v>168</v>
      </c>
      <c r="O6" s="5">
        <f>'[1]202311 daily'!AF18</f>
        <v>174</v>
      </c>
      <c r="P6" s="5">
        <f>'[1]202312 daily'!AF18</f>
        <v>215</v>
      </c>
      <c r="Q6" s="5">
        <f>'[1]202401 daily '!AF18</f>
        <v>167</v>
      </c>
      <c r="R6" s="5">
        <f>'[1]202402 daily'!G18</f>
        <v>200</v>
      </c>
      <c r="S6" s="5">
        <f>'[1]202403 daily'!E18</f>
        <v>207</v>
      </c>
      <c r="T6" s="5">
        <f>'[1]202404 daily'!E18-7</f>
        <v>92</v>
      </c>
      <c r="U6" s="5">
        <f>'[1]202405 daily'!E18-7</f>
        <v>161</v>
      </c>
      <c r="V6" s="5">
        <f>'[1]202406 daily'!E18-6</f>
        <v>93</v>
      </c>
      <c r="W6" s="5">
        <f>'[1]202407 daily'!G18-3</f>
        <v>94</v>
      </c>
      <c r="X6" s="5">
        <f>'[1]202408 daily'!G18</f>
        <v>148</v>
      </c>
      <c r="Y6" s="5">
        <f>'[1]202409 daily'!G18</f>
        <v>375</v>
      </c>
      <c r="Z6" s="7">
        <f>'[1]202410 daily'!G18</f>
        <v>244</v>
      </c>
      <c r="AA6" s="7">
        <f>'[1]202411 daily'!G18</f>
        <v>279</v>
      </c>
      <c r="AB6" s="7">
        <f>'[1]202412 daily '!E23</f>
        <v>293</v>
      </c>
      <c r="AC6" s="7">
        <f>'[1]202501 daily '!G23</f>
        <v>237</v>
      </c>
      <c r="AD6" s="7">
        <f>'[1]202502 daily  '!G23</f>
        <v>187</v>
      </c>
      <c r="AE6" s="7">
        <f>'[1]202503 daily  '!G23</f>
        <v>234</v>
      </c>
      <c r="AF6" s="7">
        <f>'[1]202504 daily'!G23</f>
        <v>251</v>
      </c>
      <c r="AG6" s="7">
        <f>'[1]202505 daily'!H23</f>
        <v>236</v>
      </c>
      <c r="AH6" s="7">
        <f>'[1]202506 daily'!G23</f>
        <v>252</v>
      </c>
      <c r="AI6" s="7">
        <f>'[1]202507 daily'!G23</f>
        <v>387</v>
      </c>
      <c r="AJ6" s="7">
        <f>'[1]202508 daily'!G23</f>
        <v>323</v>
      </c>
      <c r="AK6" s="7">
        <f>'[1]202509 daily'!G23</f>
        <v>433</v>
      </c>
      <c r="AL6" s="8">
        <v>270</v>
      </c>
      <c r="AM6" s="5">
        <f>'[1]202511 daily'!G20</f>
        <v>484</v>
      </c>
      <c r="AN6" s="5">
        <v>569</v>
      </c>
      <c r="AO6" s="7">
        <v>653</v>
      </c>
      <c r="AP6" s="7">
        <v>811</v>
      </c>
      <c r="AQ6" s="7">
        <v>784</v>
      </c>
      <c r="AR6" s="7">
        <v>660</v>
      </c>
    </row>
    <row r="7" spans="1:44" x14ac:dyDescent="0.3">
      <c r="A7" t="s">
        <v>49</v>
      </c>
      <c r="B7" s="10">
        <v>15000</v>
      </c>
      <c r="C7" s="5">
        <f>'[1]202211 daily'!AE21</f>
        <v>69458</v>
      </c>
      <c r="D7" s="5">
        <f>'[1]202212 daily'!AE21</f>
        <v>46288</v>
      </c>
      <c r="E7" s="5">
        <f>'[1]202301 daily'!AE21</f>
        <v>27290</v>
      </c>
      <c r="F7" s="5">
        <f>'[1]202302 daily'!AE21</f>
        <v>24699</v>
      </c>
      <c r="G7" s="5">
        <f>'[1]202303 daily'!AF19</f>
        <v>64252</v>
      </c>
      <c r="H7" s="5">
        <f>'[1]202304 daily'!AE19</f>
        <v>36878</v>
      </c>
      <c r="I7" s="5">
        <f>'[1]202305 daily'!AE19</f>
        <v>57955</v>
      </c>
      <c r="J7" s="5">
        <f>'[1]202306 daily'!AF19</f>
        <v>73500</v>
      </c>
      <c r="K7" s="5">
        <f>'[1]202307 daily'!AF19</f>
        <v>85528</v>
      </c>
      <c r="L7" s="5">
        <f>'[1]202308 daily'!AF19</f>
        <v>69425</v>
      </c>
      <c r="M7" s="5">
        <f>'[1]202309 daily'!AF19</f>
        <v>41438</v>
      </c>
      <c r="N7" s="5">
        <f>'[1]202310 daily'!AF22</f>
        <v>51348</v>
      </c>
      <c r="O7" s="5">
        <f>'[1]202311 daily'!AF19</f>
        <v>64015</v>
      </c>
      <c r="P7" s="5">
        <f>'[1]202312 daily'!AF19</f>
        <v>56905.97</v>
      </c>
      <c r="Q7" s="5">
        <f>'[1]202401 daily '!AF19</f>
        <v>42600</v>
      </c>
      <c r="R7" s="5">
        <f>'[1]202402 daily'!G19</f>
        <v>30734</v>
      </c>
      <c r="S7" s="5">
        <f>'[1]202403 daily'!E19</f>
        <v>58289</v>
      </c>
      <c r="T7" s="5">
        <f>'[1]202404 daily'!E19-64800</f>
        <v>33895</v>
      </c>
      <c r="U7" s="5">
        <f>'[1]202405 daily'!E19-64800</f>
        <v>79800</v>
      </c>
      <c r="V7" s="5">
        <f>'[1]202406 daily'!E19-64800</f>
        <v>24552</v>
      </c>
      <c r="W7" s="5">
        <f>'[1]202407 daily'!G19-16000-10000</f>
        <v>20552</v>
      </c>
      <c r="X7" s="5">
        <f>'[1]202408 daily'!G19</f>
        <v>39043</v>
      </c>
      <c r="Y7" s="5">
        <f>'[1]202409 daily'!G19</f>
        <v>109387</v>
      </c>
      <c r="Z7" s="7">
        <f>'[1]202410 daily'!G19</f>
        <v>62534</v>
      </c>
      <c r="AA7" s="7">
        <f>'[1]202411 daily'!G19</f>
        <v>31897</v>
      </c>
      <c r="AB7" s="7">
        <f>'[1]202412 daily '!E24</f>
        <v>64602</v>
      </c>
      <c r="AC7" s="7">
        <f>'[1]202501 daily '!G24</f>
        <v>54718</v>
      </c>
      <c r="AD7" s="7">
        <f>'[1]202502 daily  '!G24</f>
        <v>28485</v>
      </c>
      <c r="AE7" s="7">
        <f>'[1]202503 daily  '!G24</f>
        <v>34449</v>
      </c>
      <c r="AF7" s="7">
        <f>'[1]202504 daily'!G24</f>
        <v>119076</v>
      </c>
      <c r="AG7" s="7">
        <f>'[1]202505 daily'!H24</f>
        <v>54970</v>
      </c>
      <c r="AH7" s="7">
        <f>'[1]202506 daily'!G24</f>
        <v>81917</v>
      </c>
      <c r="AI7" s="7">
        <v>34166</v>
      </c>
      <c r="AJ7" s="7">
        <f>'[1]202508 daily'!G24</f>
        <v>27517</v>
      </c>
      <c r="AK7" s="7">
        <f>'[1]202509 daily'!G24</f>
        <v>32419</v>
      </c>
      <c r="AL7" s="7">
        <v>29556</v>
      </c>
      <c r="AM7" s="5">
        <f>'[1]202511 daily'!G21</f>
        <v>49756</v>
      </c>
      <c r="AN7" s="5">
        <v>242973</v>
      </c>
      <c r="AO7" s="7">
        <v>100431.6</v>
      </c>
      <c r="AP7" s="7">
        <v>128403</v>
      </c>
      <c r="AQ7" s="7">
        <v>110438</v>
      </c>
      <c r="AR7" s="7">
        <v>81607</v>
      </c>
    </row>
    <row r="8" spans="1:44" x14ac:dyDescent="0.3">
      <c r="A8" t="s">
        <v>50</v>
      </c>
      <c r="B8" s="10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f>'[1]202310 daily'!AF19</f>
        <v>9026</v>
      </c>
      <c r="O8" s="5">
        <f>'[1]202311 daily'!AF23</f>
        <v>640</v>
      </c>
      <c r="P8" s="5">
        <f>'[1]202312 daily'!AF23</f>
        <v>851</v>
      </c>
      <c r="Q8" s="5">
        <f>'[1]202401 daily '!AF23</f>
        <v>1030</v>
      </c>
      <c r="R8" s="5">
        <f>'[1]202402 daily'!G27</f>
        <v>2441</v>
      </c>
      <c r="S8" s="5">
        <f>'[1]202403 daily'!E27</f>
        <v>3183</v>
      </c>
      <c r="T8" s="5">
        <f>'[1]202404 daily'!E27</f>
        <v>3169</v>
      </c>
      <c r="U8" s="5">
        <f>'[1]202405 daily'!E30</f>
        <v>5201</v>
      </c>
      <c r="V8" s="5">
        <f>'[1]202406 daily'!E30</f>
        <v>302</v>
      </c>
      <c r="W8" s="5">
        <f>'[1]202407 daily'!G30</f>
        <v>0</v>
      </c>
      <c r="X8" s="5">
        <f>'[1]202408 daily'!G30</f>
        <v>0</v>
      </c>
      <c r="Y8" s="5">
        <f>'[1]202409 daily'!G30</f>
        <v>64</v>
      </c>
      <c r="Z8" s="7">
        <f>'[1]202410 daily'!G30</f>
        <v>16733</v>
      </c>
      <c r="AA8" s="7">
        <f>'[1]202411 daily'!G30</f>
        <v>18548</v>
      </c>
      <c r="AB8" s="7">
        <f>'[1]202412 daily '!E35</f>
        <v>7185</v>
      </c>
      <c r="AC8" s="7">
        <f>'[1]202501 daily '!G35+'[1]202501 daily '!G37</f>
        <v>3225</v>
      </c>
      <c r="AD8" s="7">
        <f>'[1]202502 daily  '!G35+'[1]202502 daily  '!G37</f>
        <v>5568</v>
      </c>
      <c r="AE8" s="7">
        <f>'[1]202503 daily  '!G35+'[1]202503 daily  '!G37</f>
        <v>6566.72</v>
      </c>
      <c r="AF8" s="7">
        <f>+'[1]202504 daily'!G35+'[1]202504 daily'!G37</f>
        <v>12391.28</v>
      </c>
      <c r="AG8" s="7">
        <f>+'[1]202505 daily'!H35+'[1]202505 daily'!H37</f>
        <v>14717.24</v>
      </c>
      <c r="AH8" s="7">
        <f>+'[1]202506 daily'!G35+'[1]202506 daily'!G37+'[1]202506 daily'!G40</f>
        <v>4588</v>
      </c>
      <c r="AI8" s="7">
        <f>'[1]202507 daily'!G35+'[1]202507 daily'!G37+'[1]202507 daily'!G40</f>
        <v>479</v>
      </c>
      <c r="AJ8" s="7">
        <f>'[1]202508 daily'!G35+'[1]202508 daily'!G37+'[1]202508 daily'!G40</f>
        <v>500</v>
      </c>
      <c r="AK8" s="7">
        <f>'[1]202509 daily'!G35+'[1]202509 daily'!G37+'[1]202509 daily'!G40</f>
        <v>1287.04</v>
      </c>
      <c r="AL8" s="8">
        <v>3000</v>
      </c>
      <c r="AM8" s="7">
        <f>'[1]202511 daily'!G34+'[1]202511 daily'!G38+'[1]202511 daily'!G32</f>
        <v>2268</v>
      </c>
      <c r="AN8" s="7">
        <f>'[1]202512 daily'!G32</f>
        <v>60</v>
      </c>
      <c r="AO8" s="7">
        <v>1225</v>
      </c>
      <c r="AP8" s="7">
        <v>10</v>
      </c>
      <c r="AQ8" s="7">
        <v>1</v>
      </c>
      <c r="AR8" s="7">
        <v>1</v>
      </c>
    </row>
    <row r="9" spans="1:44" x14ac:dyDescent="0.3">
      <c r="A9" t="s">
        <v>51</v>
      </c>
      <c r="B9" s="5">
        <f t="shared" ref="B9:AJ10" si="0">B2+B4+B6</f>
        <v>219</v>
      </c>
      <c r="C9" s="5">
        <f t="shared" si="0"/>
        <v>590</v>
      </c>
      <c r="D9" s="5">
        <f t="shared" si="0"/>
        <v>442</v>
      </c>
      <c r="E9" s="5">
        <f t="shared" si="0"/>
        <v>344</v>
      </c>
      <c r="F9" s="5">
        <f t="shared" si="0"/>
        <v>354</v>
      </c>
      <c r="G9" s="5">
        <f t="shared" si="0"/>
        <v>423</v>
      </c>
      <c r="H9" s="5">
        <f t="shared" si="0"/>
        <v>335</v>
      </c>
      <c r="I9" s="5">
        <f t="shared" si="0"/>
        <v>527</v>
      </c>
      <c r="J9" s="5">
        <f t="shared" si="0"/>
        <v>324</v>
      </c>
      <c r="K9" s="5">
        <f t="shared" si="0"/>
        <v>452</v>
      </c>
      <c r="L9" s="5">
        <f t="shared" si="0"/>
        <v>453</v>
      </c>
      <c r="M9" s="5">
        <f t="shared" si="0"/>
        <v>276</v>
      </c>
      <c r="N9" s="5">
        <f t="shared" si="0"/>
        <v>368</v>
      </c>
      <c r="O9" s="5">
        <f t="shared" si="0"/>
        <v>321</v>
      </c>
      <c r="P9" s="5">
        <f t="shared" si="0"/>
        <v>403</v>
      </c>
      <c r="Q9" s="5">
        <f t="shared" si="0"/>
        <v>331</v>
      </c>
      <c r="R9" s="5">
        <f t="shared" si="0"/>
        <v>387</v>
      </c>
      <c r="S9" s="5">
        <f t="shared" si="0"/>
        <v>391</v>
      </c>
      <c r="T9" s="5">
        <f t="shared" si="0"/>
        <v>302</v>
      </c>
      <c r="U9" s="5">
        <f t="shared" si="0"/>
        <v>469</v>
      </c>
      <c r="V9" s="5">
        <f t="shared" si="0"/>
        <v>388</v>
      </c>
      <c r="W9" s="5">
        <f t="shared" si="0"/>
        <v>506</v>
      </c>
      <c r="X9" s="5">
        <f t="shared" si="0"/>
        <v>500</v>
      </c>
      <c r="Y9" s="5">
        <f t="shared" si="0"/>
        <v>775</v>
      </c>
      <c r="Z9" s="5">
        <f t="shared" si="0"/>
        <v>723</v>
      </c>
      <c r="AA9" s="5">
        <f t="shared" si="0"/>
        <v>712</v>
      </c>
      <c r="AB9" s="5">
        <f t="shared" si="0"/>
        <v>785</v>
      </c>
      <c r="AC9" s="5">
        <f t="shared" si="0"/>
        <v>706</v>
      </c>
      <c r="AD9" s="5">
        <f t="shared" si="0"/>
        <v>630</v>
      </c>
      <c r="AE9" s="5">
        <f t="shared" si="0"/>
        <v>816</v>
      </c>
      <c r="AF9" s="5">
        <f t="shared" si="0"/>
        <v>767</v>
      </c>
      <c r="AG9" s="5">
        <f t="shared" si="0"/>
        <v>766</v>
      </c>
      <c r="AH9" s="5">
        <f t="shared" si="0"/>
        <v>758</v>
      </c>
      <c r="AI9" s="5">
        <f t="shared" si="0"/>
        <v>1279</v>
      </c>
      <c r="AJ9" s="5">
        <f t="shared" si="0"/>
        <v>939</v>
      </c>
      <c r="AK9" s="5">
        <f>AK2+AK4+AK6</f>
        <v>1083</v>
      </c>
      <c r="AL9" s="11">
        <f>AL2+AL4+AL6</f>
        <v>591</v>
      </c>
      <c r="AM9" s="5">
        <f>AM2+AM4+AM6</f>
        <v>1209</v>
      </c>
      <c r="AN9" s="5">
        <v>1255</v>
      </c>
      <c r="AO9" s="5">
        <f>AO2+AO4+AO6</f>
        <v>1550</v>
      </c>
      <c r="AP9" s="5">
        <f>AP2+AP4+AP6</f>
        <v>1690</v>
      </c>
      <c r="AQ9" s="5">
        <f>AQ2+AQ4+AQ6</f>
        <v>1671</v>
      </c>
      <c r="AR9" s="5">
        <f>AR2+AR4+AR6</f>
        <v>1487</v>
      </c>
    </row>
    <row r="10" spans="1:44" x14ac:dyDescent="0.3">
      <c r="A10" t="s">
        <v>52</v>
      </c>
      <c r="B10" s="5">
        <f t="shared" si="0"/>
        <v>154506</v>
      </c>
      <c r="C10" s="5">
        <f t="shared" si="0"/>
        <v>302227</v>
      </c>
      <c r="D10" s="5">
        <f t="shared" si="0"/>
        <v>269307</v>
      </c>
      <c r="E10" s="5">
        <f t="shared" si="0"/>
        <v>143364</v>
      </c>
      <c r="F10" s="5">
        <f t="shared" si="0"/>
        <v>102012</v>
      </c>
      <c r="G10" s="5">
        <f t="shared" si="0"/>
        <v>208031</v>
      </c>
      <c r="H10" s="5">
        <f t="shared" si="0"/>
        <v>193644.5</v>
      </c>
      <c r="I10" s="5">
        <f t="shared" si="0"/>
        <v>217855</v>
      </c>
      <c r="J10" s="5">
        <f t="shared" si="0"/>
        <v>223168</v>
      </c>
      <c r="K10" s="5">
        <f t="shared" si="0"/>
        <v>216058</v>
      </c>
      <c r="L10" s="5">
        <f>L3+L5+L7</f>
        <v>197425</v>
      </c>
      <c r="M10" s="5">
        <f>M3+M5+M7</f>
        <v>207536</v>
      </c>
      <c r="N10" s="5">
        <f t="shared" ref="N10:AR10" si="1">N3+N5+N7+N8</f>
        <v>237314</v>
      </c>
      <c r="O10" s="5">
        <f t="shared" si="1"/>
        <v>218540</v>
      </c>
      <c r="P10" s="5">
        <f t="shared" si="1"/>
        <v>296570.96999999997</v>
      </c>
      <c r="Q10" s="5">
        <f t="shared" si="1"/>
        <v>132442</v>
      </c>
      <c r="R10" s="5">
        <f t="shared" si="1"/>
        <v>118925</v>
      </c>
      <c r="S10" s="5">
        <f t="shared" si="1"/>
        <v>245296</v>
      </c>
      <c r="T10" s="5">
        <f t="shared" si="1"/>
        <v>142069</v>
      </c>
      <c r="U10" s="5">
        <f t="shared" si="1"/>
        <v>347692</v>
      </c>
      <c r="V10" s="5">
        <f t="shared" si="1"/>
        <v>150200</v>
      </c>
      <c r="W10" s="5">
        <f t="shared" si="1"/>
        <v>220633</v>
      </c>
      <c r="X10" s="5">
        <f t="shared" si="1"/>
        <v>357788</v>
      </c>
      <c r="Y10" s="5">
        <f t="shared" si="1"/>
        <v>342259</v>
      </c>
      <c r="Z10" s="5">
        <f t="shared" si="1"/>
        <v>364962</v>
      </c>
      <c r="AA10" s="5">
        <f t="shared" si="1"/>
        <v>277186</v>
      </c>
      <c r="AB10" s="5">
        <f t="shared" si="1"/>
        <v>345344</v>
      </c>
      <c r="AC10" s="5">
        <f t="shared" si="1"/>
        <v>379400</v>
      </c>
      <c r="AD10" s="5">
        <f t="shared" si="1"/>
        <v>265433</v>
      </c>
      <c r="AE10" s="5">
        <f t="shared" si="1"/>
        <v>275784.71999999997</v>
      </c>
      <c r="AF10" s="5">
        <f t="shared" si="1"/>
        <v>408182.28</v>
      </c>
      <c r="AG10" s="5">
        <f t="shared" si="1"/>
        <v>362401.24</v>
      </c>
      <c r="AH10" s="5">
        <f t="shared" si="1"/>
        <v>296001</v>
      </c>
      <c r="AI10" s="5">
        <f t="shared" si="1"/>
        <v>370401</v>
      </c>
      <c r="AJ10" s="5">
        <f t="shared" si="1"/>
        <v>305042</v>
      </c>
      <c r="AK10" s="5">
        <f t="shared" si="1"/>
        <v>746139.04</v>
      </c>
      <c r="AL10" s="6">
        <f t="shared" si="1"/>
        <v>164015</v>
      </c>
      <c r="AM10" s="5">
        <f t="shared" si="1"/>
        <v>822296</v>
      </c>
      <c r="AN10" s="5">
        <f t="shared" si="1"/>
        <v>513400</v>
      </c>
      <c r="AO10" s="5">
        <f t="shared" si="1"/>
        <v>1195868.2000000002</v>
      </c>
      <c r="AP10" s="5">
        <f t="shared" si="1"/>
        <v>806268.45</v>
      </c>
      <c r="AQ10" s="5">
        <f t="shared" si="1"/>
        <v>848349</v>
      </c>
      <c r="AR10" s="5">
        <f t="shared" si="1"/>
        <v>762112</v>
      </c>
    </row>
    <row r="11" spans="1:44" x14ac:dyDescent="0.3">
      <c r="A11" t="s">
        <v>53</v>
      </c>
      <c r="B11" s="7">
        <f t="shared" ref="B11:AQ12" si="2">B9*12</f>
        <v>2628</v>
      </c>
      <c r="C11" s="7">
        <f t="shared" si="2"/>
        <v>7080</v>
      </c>
      <c r="D11" s="7">
        <f t="shared" si="2"/>
        <v>5304</v>
      </c>
      <c r="E11" s="7">
        <f t="shared" si="2"/>
        <v>4128</v>
      </c>
      <c r="F11" s="7">
        <f t="shared" si="2"/>
        <v>4248</v>
      </c>
      <c r="G11" s="7">
        <f t="shared" si="2"/>
        <v>5076</v>
      </c>
      <c r="H11" s="7">
        <f t="shared" si="2"/>
        <v>4020</v>
      </c>
      <c r="I11" s="7">
        <f t="shared" si="2"/>
        <v>6324</v>
      </c>
      <c r="J11" s="7">
        <f t="shared" si="2"/>
        <v>3888</v>
      </c>
      <c r="K11" s="7">
        <f t="shared" si="2"/>
        <v>5424</v>
      </c>
      <c r="L11" s="7">
        <f t="shared" si="2"/>
        <v>5436</v>
      </c>
      <c r="M11" s="7">
        <f t="shared" si="2"/>
        <v>3312</v>
      </c>
      <c r="N11" s="7">
        <f t="shared" si="2"/>
        <v>4416</v>
      </c>
      <c r="O11" s="7">
        <f t="shared" si="2"/>
        <v>3852</v>
      </c>
      <c r="P11" s="7">
        <f t="shared" si="2"/>
        <v>4836</v>
      </c>
      <c r="Q11" s="7">
        <f t="shared" si="2"/>
        <v>3972</v>
      </c>
      <c r="R11" s="7">
        <f t="shared" si="2"/>
        <v>4644</v>
      </c>
      <c r="S11" s="7">
        <f t="shared" si="2"/>
        <v>4692</v>
      </c>
      <c r="T11" s="7">
        <f t="shared" si="2"/>
        <v>3624</v>
      </c>
      <c r="U11" s="7">
        <f t="shared" si="2"/>
        <v>5628</v>
      </c>
      <c r="V11" s="7">
        <f t="shared" si="2"/>
        <v>4656</v>
      </c>
      <c r="W11" s="7">
        <f t="shared" si="2"/>
        <v>6072</v>
      </c>
      <c r="X11" s="7">
        <f t="shared" si="2"/>
        <v>6000</v>
      </c>
      <c r="Y11" s="7">
        <f t="shared" si="2"/>
        <v>9300</v>
      </c>
      <c r="Z11" s="7">
        <f t="shared" si="2"/>
        <v>8676</v>
      </c>
      <c r="AA11" s="7">
        <f t="shared" si="2"/>
        <v>8544</v>
      </c>
      <c r="AB11" s="7">
        <f t="shared" si="2"/>
        <v>9420</v>
      </c>
      <c r="AC11" s="7">
        <f t="shared" si="2"/>
        <v>8472</v>
      </c>
      <c r="AD11" s="7">
        <f t="shared" si="2"/>
        <v>7560</v>
      </c>
      <c r="AE11" s="7">
        <f t="shared" si="2"/>
        <v>9792</v>
      </c>
      <c r="AF11" s="7">
        <f t="shared" si="2"/>
        <v>9204</v>
      </c>
      <c r="AG11" s="7">
        <f t="shared" si="2"/>
        <v>9192</v>
      </c>
      <c r="AH11" s="7">
        <f t="shared" si="2"/>
        <v>9096</v>
      </c>
      <c r="AI11" s="7">
        <f t="shared" si="2"/>
        <v>15348</v>
      </c>
      <c r="AJ11" s="7">
        <f t="shared" si="2"/>
        <v>11268</v>
      </c>
      <c r="AK11" s="7">
        <f t="shared" si="2"/>
        <v>12996</v>
      </c>
      <c r="AL11" s="12">
        <f t="shared" si="2"/>
        <v>7092</v>
      </c>
      <c r="AM11" s="7">
        <f t="shared" si="2"/>
        <v>14508</v>
      </c>
      <c r="AN11" s="7">
        <v>15060</v>
      </c>
      <c r="AO11" s="7">
        <f t="shared" si="2"/>
        <v>18600</v>
      </c>
      <c r="AP11" s="7">
        <f t="shared" si="2"/>
        <v>20280</v>
      </c>
      <c r="AQ11" s="7">
        <f t="shared" si="2"/>
        <v>20052</v>
      </c>
      <c r="AR11" s="7">
        <f>AR9*12</f>
        <v>17844</v>
      </c>
    </row>
    <row r="12" spans="1:44" x14ac:dyDescent="0.3">
      <c r="A12" t="s">
        <v>54</v>
      </c>
      <c r="B12" s="7">
        <f t="shared" si="2"/>
        <v>1854072</v>
      </c>
      <c r="C12" s="7">
        <f t="shared" si="2"/>
        <v>3626724</v>
      </c>
      <c r="D12" s="7">
        <f t="shared" si="2"/>
        <v>3231684</v>
      </c>
      <c r="E12" s="7">
        <f t="shared" si="2"/>
        <v>1720368</v>
      </c>
      <c r="F12" s="7">
        <f t="shared" si="2"/>
        <v>1224144</v>
      </c>
      <c r="G12" s="7">
        <f t="shared" si="2"/>
        <v>2496372</v>
      </c>
      <c r="H12" s="7">
        <f t="shared" si="2"/>
        <v>2323734</v>
      </c>
      <c r="I12" s="7">
        <f t="shared" si="2"/>
        <v>2614260</v>
      </c>
      <c r="J12" s="7">
        <f t="shared" si="2"/>
        <v>2678016</v>
      </c>
      <c r="K12" s="7">
        <f t="shared" si="2"/>
        <v>2592696</v>
      </c>
      <c r="L12" s="7">
        <f t="shared" si="2"/>
        <v>2369100</v>
      </c>
      <c r="M12" s="7">
        <f t="shared" si="2"/>
        <v>2490432</v>
      </c>
      <c r="N12" s="7">
        <f t="shared" si="2"/>
        <v>2847768</v>
      </c>
      <c r="O12" s="7">
        <f t="shared" si="2"/>
        <v>2622480</v>
      </c>
      <c r="P12" s="7">
        <f t="shared" si="2"/>
        <v>3558851.6399999997</v>
      </c>
      <c r="Q12" s="7">
        <f t="shared" si="2"/>
        <v>1589304</v>
      </c>
      <c r="R12" s="7">
        <f t="shared" si="2"/>
        <v>1427100</v>
      </c>
      <c r="S12" s="7">
        <f t="shared" si="2"/>
        <v>2943552</v>
      </c>
      <c r="T12" s="7">
        <f t="shared" si="2"/>
        <v>1704828</v>
      </c>
      <c r="U12" s="7">
        <f t="shared" si="2"/>
        <v>4172304</v>
      </c>
      <c r="V12" s="7">
        <f t="shared" si="2"/>
        <v>1802400</v>
      </c>
      <c r="W12" s="7">
        <f t="shared" si="2"/>
        <v>2647596</v>
      </c>
      <c r="X12" s="7">
        <f t="shared" si="2"/>
        <v>4293456</v>
      </c>
      <c r="Y12" s="7">
        <f t="shared" si="2"/>
        <v>4107108</v>
      </c>
      <c r="Z12" s="7">
        <f t="shared" si="2"/>
        <v>4379544</v>
      </c>
      <c r="AA12" s="7">
        <f>AA10*12</f>
        <v>3326232</v>
      </c>
      <c r="AB12" s="7">
        <f>AB10*12</f>
        <v>4144128</v>
      </c>
      <c r="AC12" s="7">
        <f>AC10*12</f>
        <v>4552800</v>
      </c>
      <c r="AD12" s="7">
        <f>AD10*12</f>
        <v>3185196</v>
      </c>
      <c r="AE12" s="7">
        <f>AE10*12</f>
        <v>3309416.6399999997</v>
      </c>
      <c r="AF12" s="7">
        <f t="shared" si="2"/>
        <v>4898187.3600000003</v>
      </c>
      <c r="AG12" s="7">
        <f t="shared" si="2"/>
        <v>4348814.88</v>
      </c>
      <c r="AH12" s="7">
        <f t="shared" si="2"/>
        <v>3552012</v>
      </c>
      <c r="AI12" s="7">
        <f t="shared" si="2"/>
        <v>4444812</v>
      </c>
      <c r="AJ12" s="7">
        <f t="shared" si="2"/>
        <v>3660504</v>
      </c>
      <c r="AK12" s="7">
        <f t="shared" si="2"/>
        <v>8953668.4800000004</v>
      </c>
      <c r="AL12" s="8">
        <f t="shared" si="2"/>
        <v>1968180</v>
      </c>
      <c r="AM12" s="7">
        <f t="shared" si="2"/>
        <v>9867552</v>
      </c>
      <c r="AN12" s="7">
        <v>6160080</v>
      </c>
      <c r="AO12" s="7">
        <f t="shared" si="2"/>
        <v>14350418.400000002</v>
      </c>
      <c r="AP12" s="7">
        <f t="shared" si="2"/>
        <v>9675221.3999999985</v>
      </c>
      <c r="AQ12" s="7">
        <f t="shared" si="2"/>
        <v>10180188</v>
      </c>
      <c r="AR12" s="7">
        <f>AR10*12</f>
        <v>9145344</v>
      </c>
    </row>
    <row r="13" spans="1:44" x14ac:dyDescent="0.3">
      <c r="A13" t="s">
        <v>55</v>
      </c>
      <c r="B13" s="7">
        <f>'[1]202210 daily'!AC6+'[1]202210 daily'!AC14</f>
        <v>212875</v>
      </c>
      <c r="C13" s="7">
        <f>'[1]202211 daily'!AE6+'[1]202211 daily'!AE14</f>
        <v>270192</v>
      </c>
      <c r="D13" s="7">
        <f>'[1]202212 daily'!AE6+'[1]202212 daily'!AE14</f>
        <v>390045</v>
      </c>
      <c r="E13" s="7">
        <f>'[1]202301 daily'!AE6+'[1]202301 daily'!AE14</f>
        <v>388524</v>
      </c>
      <c r="F13" s="7">
        <f>'[1]202302 daily'!AE6+'[1]202302 daily'!AE14</f>
        <v>407987</v>
      </c>
      <c r="G13" s="7">
        <f>'[1]202303 daily'!AF6+'[1]202303 daily'!AF14</f>
        <v>409996</v>
      </c>
      <c r="H13" s="7">
        <f>'[1]202304 daily'!AE6+'[1]202304 daily'!AE14</f>
        <v>310797</v>
      </c>
      <c r="I13" s="7">
        <f>'[1]202305 daily'!AE6+'[1]202305 daily'!AE14</f>
        <v>307626</v>
      </c>
      <c r="J13" s="7">
        <f>'[1]202306 daily'!AF6+'[1]202306 daily'!AF14</f>
        <v>304478</v>
      </c>
      <c r="K13" s="7">
        <f>'[1]202307 daily'!AF6+'[1]202307 daily'!AF14</f>
        <v>261690</v>
      </c>
      <c r="L13" s="7">
        <f>'[1]202308 daily'!AF6+'[1]202308 daily'!AF14</f>
        <v>180171</v>
      </c>
      <c r="M13" s="7">
        <f>'[1]202309 daily'!AF14+'[1]202309 daily'!AF6</f>
        <v>195861</v>
      </c>
      <c r="N13" s="7">
        <f>'[1]202310 daily'!AF6+'[1]202310 daily'!AF14+'[1]202310 daily'!AF18</f>
        <v>258913</v>
      </c>
      <c r="O13" s="7">
        <f>'[1]202311 daily'!AF6+'[1]202311 daily'!AF14+'[1]202311 daily'!AF21</f>
        <v>303178</v>
      </c>
      <c r="P13" s="7">
        <f>'[1]202312 daily'!AF6+'[1]202312 daily'!AF14+'[1]202312 daily'!AF21</f>
        <v>322128</v>
      </c>
      <c r="Q13" s="7">
        <f>'[1]202401 daily '!AF6+'[1]202401 daily '!AF14+'[1]202401 daily '!AF21</f>
        <v>167403</v>
      </c>
      <c r="R13" s="7">
        <f>'[1]202402 daily'!G6+'[1]202402 daily'!G14+'[1]202402 daily'!G25</f>
        <v>171264</v>
      </c>
      <c r="S13" s="7">
        <f>'[1]202403 daily'!E6+'[1]202403 daily'!E14+'[1]202403 daily'!E25</f>
        <v>208934</v>
      </c>
      <c r="T13" s="7">
        <f>'[1]202404 daily'!E6+'[1]202404 daily'!E14+'[1]202404 daily'!E25</f>
        <v>174285</v>
      </c>
      <c r="U13" s="7">
        <f>'[1]202405 daily'!E6+'[1]202405 daily'!E14+'[1]202405 daily'!E25</f>
        <v>299922</v>
      </c>
      <c r="V13" s="7">
        <f>'[1]202406 daily'!E6+'[1]202406 daily'!E14+'[1]202406 daily'!E25</f>
        <v>364643</v>
      </c>
      <c r="W13" s="7">
        <f>'[1]202407 daily'!G6+'[1]202407 daily'!G14+'[1]202407 daily'!G25</f>
        <v>277008</v>
      </c>
      <c r="X13" s="7">
        <f>'[1]202408 daily'!G6+'[1]202408 daily'!G14+'[1]202408 daily'!G25</f>
        <v>290576</v>
      </c>
      <c r="Y13" s="7">
        <f>'[1]202409 daily'!G6+'[1]202409 daily'!G14+'[1]202409 daily'!G25</f>
        <v>338963</v>
      </c>
      <c r="Z13" s="7">
        <f>'[1]202410 daily'!G6+'[1]202410 daily'!G14+'[1]202410 daily'!G25</f>
        <v>381896</v>
      </c>
      <c r="AA13" s="7">
        <f>'[1]202411 daily'!G6+'[1]202411 daily'!G14+'[1]202411 daily'!G25</f>
        <v>421724</v>
      </c>
      <c r="AB13" s="7">
        <f>'[1]202412 daily '!E6+'[1]202412 daily '!E14+'[1]202412 daily '!E30</f>
        <v>343977</v>
      </c>
      <c r="AC13" s="7">
        <f>'[1]202501 daily '!G6+'[1]202501 daily '!G14+'[1]202501 daily '!G30</f>
        <v>455123</v>
      </c>
      <c r="AD13" s="7">
        <f>'[1]202502 daily  '!G6+'[1]202502 daily  '!G14+'[1]202502 daily  '!G30</f>
        <v>511333</v>
      </c>
      <c r="AE13" s="7">
        <f>'[1]202503 daily  '!G6+'[1]202503 daily  '!G14+'[1]202503 daily  '!G30</f>
        <v>517450</v>
      </c>
      <c r="AF13" s="7">
        <f>'[1]202504 daily'!G6+'[1]202504 daily'!G14+'[1]202504 daily'!G30</f>
        <v>549499</v>
      </c>
      <c r="AG13" s="7">
        <f>'[1]202505 daily'!H6+'[1]202505 daily'!H14+'[1]202505 daily'!H30</f>
        <v>509133</v>
      </c>
      <c r="AH13" s="7">
        <f>'[1]202506 daily'!G6+'[1]202506 daily'!G14+'[1]202506 daily'!G30</f>
        <v>429308</v>
      </c>
      <c r="AI13" s="7">
        <f>'[1]202507 daily'!G6+'[1]202507 daily'!G14+'[1]202507 daily'!G30</f>
        <v>531831</v>
      </c>
      <c r="AJ13" s="7">
        <f>'[1]202508 daily'!G6+'[1]202508 daily'!G14+'[1]202508 daily'!G30</f>
        <v>780265</v>
      </c>
      <c r="AK13" s="7">
        <f>'[1]202509 daily'!G6+'[1]202509 daily'!G14+'[1]202509 daily'!G30</f>
        <v>1785841</v>
      </c>
      <c r="AL13" s="12">
        <v>1874634</v>
      </c>
      <c r="AM13" s="12">
        <f>'[1]202511 daily'!G6+'[1]202511 daily'!G14+'[1]202511 daily'!G28</f>
        <v>1122370</v>
      </c>
      <c r="AN13" s="12">
        <v>1607868</v>
      </c>
      <c r="AO13" s="7">
        <f>'[1]202512 daily'!H7+'[1]202512 daily'!H15</f>
        <v>789840</v>
      </c>
      <c r="AP13" s="7">
        <f>'[1]202512 daily'!I7+'[1]202512 daily'!I15</f>
        <v>612299</v>
      </c>
      <c r="AQ13" s="7">
        <f>326585+324590</f>
        <v>651175</v>
      </c>
      <c r="AR13" s="7">
        <v>608707</v>
      </c>
    </row>
    <row r="14" spans="1:44" x14ac:dyDescent="0.3">
      <c r="A14" t="s">
        <v>56</v>
      </c>
      <c r="B14" s="5">
        <f>'[1]202210 daily'!AC15</f>
        <v>36</v>
      </c>
      <c r="C14" s="5">
        <f>'[1]202211 daily'!AE15</f>
        <v>64</v>
      </c>
      <c r="D14" s="5">
        <f>'[1]202212 daily'!AE15</f>
        <v>55</v>
      </c>
      <c r="E14" s="5">
        <f>'[1]202301 daily'!AE15</f>
        <v>39</v>
      </c>
      <c r="F14" s="5">
        <f>'[1]202302 daily'!AE15</f>
        <v>72</v>
      </c>
      <c r="G14" s="5">
        <f>'[1]202303 daily'!AF15</f>
        <v>59</v>
      </c>
      <c r="H14" s="5">
        <f>'[1]202304 daily'!AE15</f>
        <v>85</v>
      </c>
      <c r="I14" s="5">
        <f>'[1]202305 daily'!AE15</f>
        <v>95</v>
      </c>
      <c r="J14" s="5">
        <f>'[1]202306 daily'!AF15</f>
        <v>53</v>
      </c>
      <c r="K14" s="5">
        <f>'[1]202307 daily'!AF15</f>
        <v>80</v>
      </c>
      <c r="L14" s="5">
        <f>'[1]202308 daily'!AF15</f>
        <v>111</v>
      </c>
      <c r="M14" s="5">
        <f>'[1]202309 daily'!AF15</f>
        <v>62</v>
      </c>
      <c r="N14" s="5">
        <f>'[1]202310 daily'!AF15</f>
        <v>64</v>
      </c>
      <c r="O14" s="5">
        <f>'[1]202311 daily'!AF15</f>
        <v>37</v>
      </c>
      <c r="P14" s="5">
        <f>'[1]202312 daily'!AF15</f>
        <v>52</v>
      </c>
      <c r="Q14" s="5">
        <f>'[1]202401 daily '!AF15</f>
        <v>59</v>
      </c>
      <c r="R14" s="5">
        <f>'[1]202402 daily'!G15</f>
        <v>70</v>
      </c>
      <c r="S14" s="5">
        <f>'[1]202403 daily'!E15</f>
        <v>74</v>
      </c>
      <c r="T14" s="5">
        <f>'[1]202404 daily'!E15-7</f>
        <v>39</v>
      </c>
      <c r="U14" s="5">
        <f>'[1]202405 daily'!E15-7</f>
        <v>58</v>
      </c>
      <c r="V14" s="5">
        <f>'[1]202406 daily'!E15-6</f>
        <v>66</v>
      </c>
      <c r="W14" s="5">
        <f>'[1]202407 daily'!G15-2+1</f>
        <v>52</v>
      </c>
      <c r="X14" s="5">
        <f>'[1]202408 daily'!G15</f>
        <v>43</v>
      </c>
      <c r="Y14" s="5">
        <f>'[1]202409 daily'!G15+2</f>
        <v>89</v>
      </c>
      <c r="Z14" s="5">
        <f>'[1]202410 daily'!G15</f>
        <v>137</v>
      </c>
      <c r="AA14" s="7">
        <f>'[1]202411 daily'!G15</f>
        <v>190</v>
      </c>
      <c r="AB14" s="7">
        <f>'[1]202412 daily '!E15</f>
        <v>214</v>
      </c>
      <c r="AC14" s="7">
        <f>'[1]202501 daily '!G15</f>
        <v>137</v>
      </c>
      <c r="AD14" s="7">
        <f>'[1]202502 daily  '!G15</f>
        <v>127</v>
      </c>
      <c r="AE14" s="7">
        <f>'[1]202503 daily  '!G15+1</f>
        <v>134</v>
      </c>
      <c r="AF14" s="7">
        <f>'[1]202504 daily'!G15</f>
        <v>157</v>
      </c>
      <c r="AG14" s="7">
        <f>'[1]202505 daily'!H15</f>
        <v>174</v>
      </c>
      <c r="AH14" s="7">
        <f>'[1]202506 daily'!G15</f>
        <v>143</v>
      </c>
      <c r="AI14" s="7">
        <f>'[1]202507 daily'!G15</f>
        <v>256</v>
      </c>
      <c r="AJ14" s="7">
        <f>'[1]202508 daily'!G15</f>
        <v>199</v>
      </c>
      <c r="AK14" s="7">
        <f>'[1]202509 daily'!G15</f>
        <v>236</v>
      </c>
      <c r="AL14" s="8">
        <v>161</v>
      </c>
      <c r="AM14" s="7">
        <f>'[1]202511 daily'!G16</f>
        <v>229</v>
      </c>
      <c r="AN14" s="7">
        <v>350</v>
      </c>
      <c r="AO14" s="7">
        <v>340</v>
      </c>
      <c r="AP14" s="7">
        <v>419</v>
      </c>
      <c r="AQ14" s="7">
        <v>440</v>
      </c>
      <c r="AR14" s="7">
        <v>326</v>
      </c>
    </row>
    <row r="15" spans="1:44" x14ac:dyDescent="0.3">
      <c r="A15" t="s">
        <v>57</v>
      </c>
      <c r="B15" s="5">
        <f>'[1]202210 daily'!AC16</f>
        <v>4843</v>
      </c>
      <c r="C15" s="5">
        <f>'[1]202211 daily'!AE16</f>
        <v>8903</v>
      </c>
      <c r="D15" s="5">
        <f>'[1]202212 daily'!AE16</f>
        <v>11536</v>
      </c>
      <c r="E15" s="5">
        <f>'[1]202301 daily'!AE16</f>
        <v>10281</v>
      </c>
      <c r="F15" s="5">
        <f>'[1]202302 daily'!AE16</f>
        <v>9585</v>
      </c>
      <c r="G15" s="5">
        <f>'[1]202303 daily'!AF16</f>
        <v>15227</v>
      </c>
      <c r="H15" s="5">
        <f>'[1]202304 daily'!AE16</f>
        <v>20145</v>
      </c>
      <c r="I15" s="5">
        <f>'[1]202305 daily'!AE16</f>
        <v>20709</v>
      </c>
      <c r="J15" s="5">
        <f>'[1]202306 daily'!AF16</f>
        <v>12445</v>
      </c>
      <c r="K15" s="5">
        <f>'[1]202307 daily'!AF16</f>
        <v>18258</v>
      </c>
      <c r="L15" s="5">
        <f>'[1]202308 daily'!AF16</f>
        <v>20330</v>
      </c>
      <c r="M15" s="5">
        <f>'[1]202309 daily'!AF16</f>
        <v>10130</v>
      </c>
      <c r="N15" s="5">
        <f>'[1]202310 daily'!AF16+('[1]202310 daily'!AF20)</f>
        <v>19696</v>
      </c>
      <c r="O15" s="5">
        <f>'[1]202311 daily'!AF16+'[1]202311 daily'!AF26</f>
        <v>28419</v>
      </c>
      <c r="P15" s="5">
        <f>'[1]202312 daily'!AF16+'[1]202312 daily'!AF26</f>
        <v>20020</v>
      </c>
      <c r="Q15" s="5">
        <f>'[1]202401 daily '!AF16+'[1]202401 daily '!AF26</f>
        <v>17937</v>
      </c>
      <c r="R15" s="5">
        <f>'[1]202402 daily'!G16</f>
        <v>10326</v>
      </c>
      <c r="S15" s="5">
        <f>'[1]202403 daily'!E16</f>
        <v>36282</v>
      </c>
      <c r="T15" s="5">
        <f>'[1]202404 daily'!E16-64800</f>
        <v>11245</v>
      </c>
      <c r="U15" s="5">
        <f>'[1]202405 daily'!E16-64800</f>
        <v>20007</v>
      </c>
      <c r="V15" s="5">
        <f>'[1]202406 daily'!E16-64800</f>
        <v>13614</v>
      </c>
      <c r="W15" s="5">
        <f>'[1]202407 daily'!G16+50-18000</f>
        <v>7251</v>
      </c>
      <c r="X15" s="5">
        <f>'[1]202408 daily'!G16</f>
        <v>10443</v>
      </c>
      <c r="Y15" s="5">
        <f>'[1]202409 daily'!G16+'[1]202409 daily'!G26-10000</f>
        <v>11327</v>
      </c>
      <c r="Z15" s="5">
        <f>'[1]202410 daily'!G16</f>
        <v>23119</v>
      </c>
      <c r="AA15" s="7">
        <f>'[1]202411 daily'!G16+'[1]202411 daily'!G26</f>
        <v>18301</v>
      </c>
      <c r="AB15" s="7">
        <f>'[1]202412 daily '!E16+'[1]202412 daily '!E31</f>
        <v>34289</v>
      </c>
      <c r="AC15" s="7">
        <f>'[1]202501 daily '!G16+'[1]202501 daily '!G31</f>
        <v>17062</v>
      </c>
      <c r="AD15" s="7">
        <f>'[1]202502 daily  '!G16+'[1]202502 daily  '!G31</f>
        <v>21760</v>
      </c>
      <c r="AE15" s="7">
        <f>'[1]202503 daily  '!G16+'[1]202503 daily  '!G31</f>
        <v>23590</v>
      </c>
      <c r="AF15" s="7">
        <f>'[1]202504 daily'!G16</f>
        <v>23563</v>
      </c>
      <c r="AG15" s="7">
        <f>'[1]202505 daily'!H16</f>
        <v>20246</v>
      </c>
      <c r="AH15" s="7">
        <f>'[1]202506 daily'!G16</f>
        <v>24764</v>
      </c>
      <c r="AI15" s="7">
        <f>'[1]202507 daily'!G16</f>
        <v>20282</v>
      </c>
      <c r="AJ15" s="7">
        <f>'[1]202508 daily'!G16</f>
        <v>17219</v>
      </c>
      <c r="AK15" s="7">
        <f>'[1]202509 daily'!G16</f>
        <v>20741</v>
      </c>
      <c r="AL15" s="12">
        <v>20012</v>
      </c>
      <c r="AM15" s="7">
        <f>'[1]202511 daily'!G17</f>
        <v>26223</v>
      </c>
      <c r="AN15" s="7">
        <v>42767</v>
      </c>
      <c r="AO15" s="7">
        <v>48020.6</v>
      </c>
      <c r="AP15" s="7">
        <v>48803</v>
      </c>
      <c r="AQ15" s="7">
        <v>55872</v>
      </c>
      <c r="AR15" s="7">
        <v>42281</v>
      </c>
    </row>
    <row r="16" spans="1:44" x14ac:dyDescent="0.3">
      <c r="A16" t="s">
        <v>58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f>64800</f>
        <v>64800</v>
      </c>
      <c r="U16" s="5">
        <f>64800</f>
        <v>64800</v>
      </c>
      <c r="V16" s="5">
        <f>64800</f>
        <v>64800</v>
      </c>
      <c r="W16" s="5">
        <v>18000</v>
      </c>
      <c r="X16" s="7">
        <f>7500</f>
        <v>7500</v>
      </c>
      <c r="Y16" s="7">
        <v>10000</v>
      </c>
      <c r="Z16" s="7">
        <v>0</v>
      </c>
      <c r="AA16" s="7">
        <v>2500</v>
      </c>
      <c r="AB16" s="7">
        <f>'[1]202412 daily '!E20</f>
        <v>5850</v>
      </c>
      <c r="AC16" s="7">
        <f>'[1]202501 daily '!G20</f>
        <v>4600</v>
      </c>
      <c r="AD16" s="7">
        <f>'[1]202502 daily  '!G20</f>
        <v>7555</v>
      </c>
      <c r="AE16" s="7">
        <f>'[1]202503 daily  '!G20</f>
        <v>497</v>
      </c>
      <c r="AF16" s="7">
        <f>'[1]202504 daily'!G20</f>
        <v>30433</v>
      </c>
      <c r="AG16" s="7">
        <f>'[1]202505 daily'!H20</f>
        <v>37375</v>
      </c>
      <c r="AH16" s="7">
        <f>'[1]202506 daily'!G20</f>
        <v>26434</v>
      </c>
      <c r="AI16" s="7" t="str">
        <f>'[1]202507 daily'!G20</f>
        <v>       5,080</v>
      </c>
      <c r="AJ16" s="7" t="str">
        <f>'[1]202508 daily'!G20</f>
        <v xml:space="preserve">       1,705 </v>
      </c>
      <c r="AK16" s="7">
        <f>'[1]202509 daily'!G20</f>
        <v>3273</v>
      </c>
      <c r="AL16" s="8">
        <v>2850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 t="s">
        <v>59</v>
      </c>
    </row>
    <row r="17" spans="1:44" x14ac:dyDescent="0.3">
      <c r="A17" t="s">
        <v>60</v>
      </c>
      <c r="B17" s="5">
        <f>B15/B14</f>
        <v>134.52777777777777</v>
      </c>
      <c r="C17" s="5">
        <f t="shared" ref="C17:AJ17" si="3">C15/C14</f>
        <v>139.109375</v>
      </c>
      <c r="D17" s="5">
        <f t="shared" si="3"/>
        <v>209.74545454545455</v>
      </c>
      <c r="E17" s="5">
        <f t="shared" si="3"/>
        <v>263.61538461538464</v>
      </c>
      <c r="F17" s="5">
        <f t="shared" si="3"/>
        <v>133.125</v>
      </c>
      <c r="G17" s="5">
        <f t="shared" si="3"/>
        <v>258.08474576271186</v>
      </c>
      <c r="H17" s="5">
        <f t="shared" si="3"/>
        <v>237</v>
      </c>
      <c r="I17" s="5">
        <f t="shared" si="3"/>
        <v>217.98947368421054</v>
      </c>
      <c r="J17" s="5">
        <f t="shared" si="3"/>
        <v>234.81132075471697</v>
      </c>
      <c r="K17" s="5">
        <f t="shared" si="3"/>
        <v>228.22499999999999</v>
      </c>
      <c r="L17" s="5">
        <f t="shared" si="3"/>
        <v>183.15315315315314</v>
      </c>
      <c r="M17" s="5">
        <f t="shared" si="3"/>
        <v>163.38709677419354</v>
      </c>
      <c r="N17" s="5">
        <f t="shared" si="3"/>
        <v>307.75</v>
      </c>
      <c r="O17" s="5">
        <f t="shared" si="3"/>
        <v>768.08108108108104</v>
      </c>
      <c r="P17" s="5">
        <f t="shared" si="3"/>
        <v>385</v>
      </c>
      <c r="Q17" s="5">
        <f t="shared" si="3"/>
        <v>304.0169491525424</v>
      </c>
      <c r="R17" s="5">
        <f t="shared" si="3"/>
        <v>147.51428571428571</v>
      </c>
      <c r="S17" s="5">
        <f t="shared" si="3"/>
        <v>490.29729729729729</v>
      </c>
      <c r="T17" s="5">
        <f t="shared" si="3"/>
        <v>288.33333333333331</v>
      </c>
      <c r="U17" s="5">
        <f t="shared" si="3"/>
        <v>344.94827586206895</v>
      </c>
      <c r="V17" s="5">
        <f t="shared" si="3"/>
        <v>206.27272727272728</v>
      </c>
      <c r="W17" s="5">
        <f t="shared" si="3"/>
        <v>139.44230769230768</v>
      </c>
      <c r="X17" s="5">
        <f t="shared" si="3"/>
        <v>242.86046511627907</v>
      </c>
      <c r="Y17" s="5">
        <f t="shared" si="3"/>
        <v>127.26966292134831</v>
      </c>
      <c r="Z17" s="5">
        <f t="shared" si="3"/>
        <v>168.75182481751824</v>
      </c>
      <c r="AA17" s="5">
        <f t="shared" si="3"/>
        <v>96.321052631578951</v>
      </c>
      <c r="AB17" s="5">
        <f t="shared" si="3"/>
        <v>160.22897196261681</v>
      </c>
      <c r="AC17" s="5">
        <f t="shared" si="3"/>
        <v>124.54014598540147</v>
      </c>
      <c r="AD17" s="5">
        <f t="shared" si="3"/>
        <v>171.33858267716536</v>
      </c>
      <c r="AE17" s="5">
        <f t="shared" si="3"/>
        <v>176.044776119403</v>
      </c>
      <c r="AF17" s="5">
        <f t="shared" si="3"/>
        <v>150.08280254777071</v>
      </c>
      <c r="AG17" s="5">
        <f t="shared" si="3"/>
        <v>116.35632183908046</v>
      </c>
      <c r="AH17" s="5">
        <f t="shared" si="3"/>
        <v>173.17482517482517</v>
      </c>
      <c r="AI17" s="5">
        <f t="shared" si="3"/>
        <v>79.2265625</v>
      </c>
      <c r="AJ17" s="5">
        <f t="shared" si="3"/>
        <v>86.527638190954775</v>
      </c>
      <c r="AK17" s="5">
        <f>AK15/AK14</f>
        <v>87.88559322033899</v>
      </c>
      <c r="AL17" s="11">
        <f>AL15/AL14</f>
        <v>124.29813664596273</v>
      </c>
      <c r="AM17" s="5">
        <f>AM15/AM14</f>
        <v>114.51091703056768</v>
      </c>
      <c r="AN17" s="5">
        <v>122.19142857142857</v>
      </c>
      <c r="AO17" s="5">
        <f>AO15/AO14</f>
        <v>141.2370588235294</v>
      </c>
      <c r="AP17" s="5">
        <f>AP15/AP14</f>
        <v>116.47494033412887</v>
      </c>
      <c r="AQ17" s="5">
        <f>AQ15/AQ14</f>
        <v>126.98181818181818</v>
      </c>
      <c r="AR17" s="5">
        <f>AR15/AR14</f>
        <v>129.69631901840492</v>
      </c>
    </row>
    <row r="18" spans="1:44" x14ac:dyDescent="0.3">
      <c r="A18" s="13" t="s">
        <v>61</v>
      </c>
      <c r="B18" s="14">
        <f t="shared" ref="B18:AQ19" si="4">B14*12</f>
        <v>432</v>
      </c>
      <c r="C18" s="14">
        <f t="shared" si="4"/>
        <v>768</v>
      </c>
      <c r="D18" s="14">
        <f t="shared" si="4"/>
        <v>660</v>
      </c>
      <c r="E18" s="14">
        <f t="shared" si="4"/>
        <v>468</v>
      </c>
      <c r="F18" s="14">
        <f t="shared" si="4"/>
        <v>864</v>
      </c>
      <c r="G18" s="14">
        <f t="shared" si="4"/>
        <v>708</v>
      </c>
      <c r="H18" s="14">
        <f t="shared" si="4"/>
        <v>1020</v>
      </c>
      <c r="I18" s="14">
        <f t="shared" si="4"/>
        <v>1140</v>
      </c>
      <c r="J18" s="14">
        <f t="shared" si="4"/>
        <v>636</v>
      </c>
      <c r="K18" s="14">
        <f t="shared" si="4"/>
        <v>960</v>
      </c>
      <c r="L18" s="14">
        <f t="shared" si="4"/>
        <v>1332</v>
      </c>
      <c r="M18" s="14">
        <f t="shared" si="4"/>
        <v>744</v>
      </c>
      <c r="N18" s="14">
        <f t="shared" si="4"/>
        <v>768</v>
      </c>
      <c r="O18" s="14">
        <f t="shared" si="4"/>
        <v>444</v>
      </c>
      <c r="P18" s="14">
        <f t="shared" si="4"/>
        <v>624</v>
      </c>
      <c r="Q18" s="14">
        <f t="shared" si="4"/>
        <v>708</v>
      </c>
      <c r="R18" s="14">
        <f t="shared" si="4"/>
        <v>840</v>
      </c>
      <c r="S18" s="14">
        <f t="shared" si="4"/>
        <v>888</v>
      </c>
      <c r="T18" s="14">
        <f t="shared" si="4"/>
        <v>468</v>
      </c>
      <c r="U18" s="14">
        <f t="shared" si="4"/>
        <v>696</v>
      </c>
      <c r="V18" s="14">
        <f t="shared" si="4"/>
        <v>792</v>
      </c>
      <c r="W18" s="14">
        <f t="shared" si="4"/>
        <v>624</v>
      </c>
      <c r="X18" s="14">
        <f t="shared" si="4"/>
        <v>516</v>
      </c>
      <c r="Y18" s="14">
        <f t="shared" si="4"/>
        <v>1068</v>
      </c>
      <c r="Z18" s="14">
        <f t="shared" si="4"/>
        <v>1644</v>
      </c>
      <c r="AA18" s="14">
        <f t="shared" si="4"/>
        <v>2280</v>
      </c>
      <c r="AB18" s="14">
        <f t="shared" si="4"/>
        <v>2568</v>
      </c>
      <c r="AC18" s="14">
        <f t="shared" si="4"/>
        <v>1644</v>
      </c>
      <c r="AD18" s="14">
        <f t="shared" si="4"/>
        <v>1524</v>
      </c>
      <c r="AE18" s="14">
        <f t="shared" si="4"/>
        <v>1608</v>
      </c>
      <c r="AF18" s="14">
        <f t="shared" si="4"/>
        <v>1884</v>
      </c>
      <c r="AG18" s="14">
        <f t="shared" si="4"/>
        <v>2088</v>
      </c>
      <c r="AH18" s="14">
        <f t="shared" si="4"/>
        <v>1716</v>
      </c>
      <c r="AI18" s="14">
        <f t="shared" si="4"/>
        <v>3072</v>
      </c>
      <c r="AJ18" s="14">
        <f t="shared" si="4"/>
        <v>2388</v>
      </c>
      <c r="AK18" s="14">
        <f t="shared" si="4"/>
        <v>2832</v>
      </c>
      <c r="AL18" s="14">
        <f t="shared" si="4"/>
        <v>1932</v>
      </c>
      <c r="AM18" s="14">
        <f t="shared" si="4"/>
        <v>2748</v>
      </c>
      <c r="AN18" s="14">
        <v>4200</v>
      </c>
      <c r="AO18" s="14">
        <f t="shared" si="4"/>
        <v>4080</v>
      </c>
      <c r="AP18" s="14">
        <f t="shared" si="4"/>
        <v>5028</v>
      </c>
      <c r="AQ18" s="14">
        <f t="shared" si="4"/>
        <v>5280</v>
      </c>
      <c r="AR18" s="14">
        <f>AR14*12</f>
        <v>3912</v>
      </c>
    </row>
    <row r="19" spans="1:44" x14ac:dyDescent="0.3">
      <c r="A19" s="13" t="s">
        <v>62</v>
      </c>
      <c r="B19" s="14">
        <f t="shared" si="4"/>
        <v>58116</v>
      </c>
      <c r="C19" s="14">
        <f t="shared" si="4"/>
        <v>106836</v>
      </c>
      <c r="D19" s="14">
        <f t="shared" si="4"/>
        <v>138432</v>
      </c>
      <c r="E19" s="14">
        <f t="shared" si="4"/>
        <v>123372</v>
      </c>
      <c r="F19" s="14">
        <f t="shared" si="4"/>
        <v>115020</v>
      </c>
      <c r="G19" s="14">
        <f t="shared" si="4"/>
        <v>182724</v>
      </c>
      <c r="H19" s="14">
        <f t="shared" si="4"/>
        <v>241740</v>
      </c>
      <c r="I19" s="14">
        <f t="shared" si="4"/>
        <v>248508</v>
      </c>
      <c r="J19" s="14">
        <f t="shared" si="4"/>
        <v>149340</v>
      </c>
      <c r="K19" s="14">
        <f t="shared" si="4"/>
        <v>219096</v>
      </c>
      <c r="L19" s="14">
        <f t="shared" si="4"/>
        <v>243960</v>
      </c>
      <c r="M19" s="14">
        <f t="shared" si="4"/>
        <v>121560</v>
      </c>
      <c r="N19" s="14">
        <f t="shared" si="4"/>
        <v>236352</v>
      </c>
      <c r="O19" s="14">
        <f t="shared" si="4"/>
        <v>341028</v>
      </c>
      <c r="P19" s="14">
        <f t="shared" si="4"/>
        <v>240240</v>
      </c>
      <c r="Q19" s="14">
        <f t="shared" si="4"/>
        <v>215244</v>
      </c>
      <c r="R19" s="14">
        <f t="shared" si="4"/>
        <v>123912</v>
      </c>
      <c r="S19" s="14">
        <f t="shared" si="4"/>
        <v>435384</v>
      </c>
      <c r="T19" s="14">
        <f t="shared" si="4"/>
        <v>134940</v>
      </c>
      <c r="U19" s="14">
        <f t="shared" si="4"/>
        <v>240084</v>
      </c>
      <c r="V19" s="14">
        <f t="shared" si="4"/>
        <v>163368</v>
      </c>
      <c r="W19" s="14">
        <f t="shared" si="4"/>
        <v>87012</v>
      </c>
      <c r="X19" s="14">
        <f t="shared" si="4"/>
        <v>125316</v>
      </c>
      <c r="Y19" s="14">
        <f t="shared" si="4"/>
        <v>135924</v>
      </c>
      <c r="Z19" s="14">
        <f t="shared" si="4"/>
        <v>277428</v>
      </c>
      <c r="AA19" s="14">
        <f t="shared" si="4"/>
        <v>219612</v>
      </c>
      <c r="AB19" s="14">
        <f t="shared" si="4"/>
        <v>411468</v>
      </c>
      <c r="AC19" s="14">
        <f t="shared" si="4"/>
        <v>204744</v>
      </c>
      <c r="AD19" s="14">
        <f t="shared" si="4"/>
        <v>261120</v>
      </c>
      <c r="AE19" s="14">
        <f t="shared" si="4"/>
        <v>283080</v>
      </c>
      <c r="AF19" s="14">
        <f t="shared" si="4"/>
        <v>282756</v>
      </c>
      <c r="AG19" s="14">
        <f t="shared" si="4"/>
        <v>242952</v>
      </c>
      <c r="AH19" s="14">
        <f t="shared" si="4"/>
        <v>297168</v>
      </c>
      <c r="AI19" s="14">
        <f t="shared" si="4"/>
        <v>243384</v>
      </c>
      <c r="AJ19" s="14">
        <f t="shared" si="4"/>
        <v>206628</v>
      </c>
      <c r="AK19" s="14">
        <f t="shared" si="4"/>
        <v>248892</v>
      </c>
      <c r="AL19" s="14">
        <f t="shared" si="4"/>
        <v>240144</v>
      </c>
      <c r="AM19" s="14">
        <f t="shared" si="4"/>
        <v>314676</v>
      </c>
      <c r="AN19" s="14">
        <v>513204</v>
      </c>
      <c r="AO19" s="14">
        <f t="shared" si="4"/>
        <v>576247.19999999995</v>
      </c>
      <c r="AP19" s="14">
        <f t="shared" si="4"/>
        <v>585636</v>
      </c>
      <c r="AQ19" s="14">
        <f t="shared" si="4"/>
        <v>670464</v>
      </c>
      <c r="AR19" s="14">
        <f>AR15*12</f>
        <v>507372</v>
      </c>
    </row>
    <row r="20" spans="1:44" x14ac:dyDescent="0.3">
      <c r="A20" t="s">
        <v>63</v>
      </c>
      <c r="B20" s="7"/>
      <c r="C20" s="7"/>
      <c r="D20" s="7">
        <f t="shared" ref="D20:AJ20" si="5">(B15+C15+D15)*4</f>
        <v>101128</v>
      </c>
      <c r="E20" s="7">
        <f t="shared" si="5"/>
        <v>122880</v>
      </c>
      <c r="F20" s="7">
        <f t="shared" si="5"/>
        <v>125608</v>
      </c>
      <c r="G20" s="7">
        <f t="shared" si="5"/>
        <v>140372</v>
      </c>
      <c r="H20" s="7">
        <f t="shared" si="5"/>
        <v>179828</v>
      </c>
      <c r="I20" s="7">
        <f t="shared" si="5"/>
        <v>224324</v>
      </c>
      <c r="J20" s="7">
        <f t="shared" si="5"/>
        <v>213196</v>
      </c>
      <c r="K20" s="7">
        <f t="shared" si="5"/>
        <v>205648</v>
      </c>
      <c r="L20" s="7">
        <f t="shared" si="5"/>
        <v>204132</v>
      </c>
      <c r="M20" s="7">
        <f t="shared" si="5"/>
        <v>194872</v>
      </c>
      <c r="N20" s="7">
        <f t="shared" si="5"/>
        <v>200624</v>
      </c>
      <c r="O20" s="7">
        <f t="shared" si="5"/>
        <v>232980</v>
      </c>
      <c r="P20" s="7">
        <f t="shared" si="5"/>
        <v>272540</v>
      </c>
      <c r="Q20" s="7">
        <f t="shared" si="5"/>
        <v>265504</v>
      </c>
      <c r="R20" s="7">
        <f t="shared" si="5"/>
        <v>193132</v>
      </c>
      <c r="S20" s="7">
        <f t="shared" si="5"/>
        <v>258180</v>
      </c>
      <c r="T20" s="7">
        <f t="shared" si="5"/>
        <v>231412</v>
      </c>
      <c r="U20" s="7">
        <f t="shared" si="5"/>
        <v>270136</v>
      </c>
      <c r="V20" s="7">
        <f t="shared" si="5"/>
        <v>179464</v>
      </c>
      <c r="W20" s="7">
        <f t="shared" si="5"/>
        <v>163488</v>
      </c>
      <c r="X20" s="7">
        <f t="shared" si="5"/>
        <v>125232</v>
      </c>
      <c r="Y20" s="7">
        <f t="shared" si="5"/>
        <v>116084</v>
      </c>
      <c r="Z20" s="7">
        <f t="shared" si="5"/>
        <v>179556</v>
      </c>
      <c r="AA20" s="7">
        <f t="shared" si="5"/>
        <v>210988</v>
      </c>
      <c r="AB20" s="7">
        <f t="shared" si="5"/>
        <v>302836</v>
      </c>
      <c r="AC20" s="7">
        <f t="shared" si="5"/>
        <v>278608</v>
      </c>
      <c r="AD20" s="7">
        <f t="shared" si="5"/>
        <v>292444</v>
      </c>
      <c r="AE20" s="7">
        <f t="shared" si="5"/>
        <v>249648</v>
      </c>
      <c r="AF20" s="7">
        <f t="shared" si="5"/>
        <v>275652</v>
      </c>
      <c r="AG20" s="7">
        <f t="shared" si="5"/>
        <v>269596</v>
      </c>
      <c r="AH20" s="7">
        <f t="shared" si="5"/>
        <v>274292</v>
      </c>
      <c r="AI20" s="7">
        <f t="shared" si="5"/>
        <v>261168</v>
      </c>
      <c r="AJ20" s="7">
        <f t="shared" si="5"/>
        <v>249060</v>
      </c>
      <c r="AK20" s="7">
        <f>(AI15+AJ15+AK15)*4</f>
        <v>232968</v>
      </c>
      <c r="AL20" s="7">
        <f>(AJ15+AK15+AL15)*4</f>
        <v>231888</v>
      </c>
      <c r="AM20" s="7">
        <f>(AK15+AL15+AM15)*4</f>
        <v>267904</v>
      </c>
      <c r="AN20" s="7">
        <v>356008</v>
      </c>
      <c r="AO20" s="7">
        <f>(AM15+AN15+AO15)*4</f>
        <v>468042.4</v>
      </c>
      <c r="AP20" s="7">
        <f>(AN15+AO15+AP15)*4</f>
        <v>558362.4</v>
      </c>
      <c r="AQ20" s="7">
        <f>(AO15+AP15+AQ15)*4</f>
        <v>610782.4</v>
      </c>
      <c r="AR20" s="7">
        <f>(AP15+AQ15+AR15)*4</f>
        <v>587824</v>
      </c>
    </row>
    <row r="21" spans="1:44" x14ac:dyDescent="0.3">
      <c r="A21" s="13" t="s">
        <v>64</v>
      </c>
      <c r="B21" s="15">
        <f t="shared" ref="B21:AL21" si="6">B15/B10</f>
        <v>3.1345061033228483E-2</v>
      </c>
      <c r="C21" s="15">
        <f t="shared" si="6"/>
        <v>2.9457990186184557E-2</v>
      </c>
      <c r="D21" s="15">
        <f t="shared" si="6"/>
        <v>4.2835871329003704E-2</v>
      </c>
      <c r="E21" s="15">
        <f t="shared" si="6"/>
        <v>7.1712563823554024E-2</v>
      </c>
      <c r="F21" s="15">
        <f t="shared" si="6"/>
        <v>9.3959534172450301E-2</v>
      </c>
      <c r="G21" s="15">
        <f t="shared" si="6"/>
        <v>7.3195821776562142E-2</v>
      </c>
      <c r="H21" s="16">
        <f t="shared" si="6"/>
        <v>0.10403084001869405</v>
      </c>
      <c r="I21" s="16">
        <f t="shared" si="6"/>
        <v>9.5058639921048405E-2</v>
      </c>
      <c r="J21" s="16">
        <f t="shared" si="6"/>
        <v>5.5765163464295955E-2</v>
      </c>
      <c r="K21" s="16">
        <f t="shared" si="6"/>
        <v>8.4505086597117446E-2</v>
      </c>
      <c r="L21" s="16">
        <f t="shared" si="6"/>
        <v>0.1029758136001013</v>
      </c>
      <c r="M21" s="16">
        <f t="shared" si="6"/>
        <v>4.8810808727160586E-2</v>
      </c>
      <c r="N21" s="16">
        <f t="shared" si="6"/>
        <v>8.2995524916355548E-2</v>
      </c>
      <c r="O21" s="16">
        <f t="shared" si="6"/>
        <v>0.13004026722796741</v>
      </c>
      <c r="P21" s="16">
        <f t="shared" si="6"/>
        <v>6.7504921334680876E-2</v>
      </c>
      <c r="Q21" s="16">
        <f t="shared" si="6"/>
        <v>0.13543286872744295</v>
      </c>
      <c r="R21" s="16">
        <f t="shared" si="6"/>
        <v>8.6827832667647681E-2</v>
      </c>
      <c r="S21" s="16">
        <f t="shared" si="6"/>
        <v>0.14791109516665579</v>
      </c>
      <c r="T21" s="16">
        <f t="shared" si="6"/>
        <v>7.9151679817553444E-2</v>
      </c>
      <c r="U21" s="16">
        <f t="shared" si="6"/>
        <v>5.7542307559564215E-2</v>
      </c>
      <c r="V21" s="16">
        <f t="shared" si="6"/>
        <v>9.0639147802929421E-2</v>
      </c>
      <c r="W21" s="16">
        <f t="shared" si="6"/>
        <v>3.2864530691238389E-2</v>
      </c>
      <c r="X21" s="16">
        <f t="shared" si="6"/>
        <v>2.9187675383187811E-2</v>
      </c>
      <c r="Y21" s="16">
        <f t="shared" si="6"/>
        <v>3.3094820004733259E-2</v>
      </c>
      <c r="Z21" s="16">
        <f t="shared" si="6"/>
        <v>6.3346320986842466E-2</v>
      </c>
      <c r="AA21" s="16">
        <f t="shared" si="6"/>
        <v>6.6024258079412382E-2</v>
      </c>
      <c r="AB21" s="16">
        <f t="shared" si="6"/>
        <v>9.9289404188287619E-2</v>
      </c>
      <c r="AC21" s="16">
        <f t="shared" si="6"/>
        <v>4.4971006852925675E-2</v>
      </c>
      <c r="AD21" s="16">
        <f t="shared" si="6"/>
        <v>8.1979256535547579E-2</v>
      </c>
      <c r="AE21" s="17">
        <f t="shared" si="6"/>
        <v>8.5537733925215298E-2</v>
      </c>
      <c r="AF21" s="17">
        <f t="shared" si="6"/>
        <v>5.772666074578249E-2</v>
      </c>
      <c r="AG21" s="17">
        <f t="shared" si="6"/>
        <v>5.5866254762262958E-2</v>
      </c>
      <c r="AH21" s="17">
        <f t="shared" si="6"/>
        <v>8.3661879520677301E-2</v>
      </c>
      <c r="AI21" s="17">
        <f t="shared" si="6"/>
        <v>5.4756871606718126E-2</v>
      </c>
      <c r="AJ21" s="17">
        <f t="shared" si="6"/>
        <v>5.6447964542587575E-2</v>
      </c>
      <c r="AK21" s="17">
        <f t="shared" si="6"/>
        <v>2.7797768094268326E-2</v>
      </c>
      <c r="AL21" s="17">
        <f t="shared" si="6"/>
        <v>0.12201323049721062</v>
      </c>
      <c r="AM21" s="17">
        <f>AM15/AM10</f>
        <v>3.1889976358878067E-2</v>
      </c>
      <c r="AN21" s="17">
        <v>8.3311255697977954E-2</v>
      </c>
      <c r="AO21" s="17">
        <f>AO15/AO10</f>
        <v>4.0155428499562065E-2</v>
      </c>
      <c r="AP21" s="17">
        <f>AP15/AP10</f>
        <v>6.0529467573734286E-2</v>
      </c>
      <c r="AQ21" s="17">
        <f>AQ15/AQ10</f>
        <v>6.5859687463532102E-2</v>
      </c>
      <c r="AR21" s="17">
        <f>AR15/AR10</f>
        <v>5.5478722287537786E-2</v>
      </c>
    </row>
    <row r="22" spans="1:44" x14ac:dyDescent="0.3">
      <c r="H22" s="18">
        <f>SUM($H15:H15)/SUM($H10:H10)</f>
        <v>0.10403084001869405</v>
      </c>
      <c r="I22" s="18">
        <f>SUM($H15:I15)/SUM($H10:I10)</f>
        <v>9.9280801070232169E-2</v>
      </c>
      <c r="J22" s="18">
        <f>SUM($H15:J15)/SUM($H10:J10)</f>
        <v>8.397940653964478E-2</v>
      </c>
      <c r="K22" s="18">
        <f>SUM($H15:K15)/SUM($H10:K10)</f>
        <v>8.4112913037166517E-2</v>
      </c>
      <c r="L22" s="18">
        <f>SUM($H15:L15)/SUM($H10:L10)</f>
        <v>8.7665845696777323E-2</v>
      </c>
      <c r="M22" s="18">
        <f>SUM($H15:M15)/SUM($H10:M10)</f>
        <v>8.1244004773484466E-2</v>
      </c>
      <c r="N22" s="18">
        <f>SUM($H15:N15)/SUM($H10:N10)</f>
        <v>8.1522410742662171E-2</v>
      </c>
      <c r="O22" s="18">
        <f>SUM($H15:O15)/SUM($H10:O10)</f>
        <v>8.7717468561217218E-2</v>
      </c>
      <c r="P22" s="18">
        <f>SUM($H15:P15)/SUM($H10:P10)</f>
        <v>8.4732348050379894E-2</v>
      </c>
      <c r="Q22" s="18">
        <f>SUM($H15:Q15)/SUM($H10:Q10)</f>
        <v>8.7869330355947628E-2</v>
      </c>
      <c r="R22" s="18">
        <f>SUM($H15:R15)/SUM($H10:R10)</f>
        <v>8.7814512346293797E-2</v>
      </c>
      <c r="S22" s="18">
        <f>SUM($H15:S15)/SUM($H10:S10)</f>
        <v>9.3699853144862191E-2</v>
      </c>
      <c r="T22" s="18">
        <f>SUM($H15:T15)/SUM($H10:T10)</f>
        <v>9.2918981718250235E-2</v>
      </c>
      <c r="U22" s="18">
        <f>SUM($H15:U15)/SUM($H10:U10)</f>
        <v>8.8811437588348224E-2</v>
      </c>
      <c r="V22" s="18">
        <f>SUM($H15:V15)/SUM($H10:V10)</f>
        <v>8.8898733348786257E-2</v>
      </c>
      <c r="W22" s="18">
        <f>SUM($H15:W15)/SUM($H10:W10)</f>
        <v>8.5225140294964502E-2</v>
      </c>
      <c r="X22" s="18">
        <f>SUM($H15:X15)/SUM($H10:X10)</f>
        <v>7.9840050343089664E-2</v>
      </c>
      <c r="Y22" s="18">
        <f>SUM($H15:Y15)/SUM($H10:Y10)</f>
        <v>7.5904665163287727E-2</v>
      </c>
      <c r="Z22" s="18">
        <f>SUM($H15:Z15)/SUM($H10:Z10)</f>
        <v>7.4870144191122395E-2</v>
      </c>
      <c r="AA22" s="18">
        <f>SUM($H15:AA15)/SUM($H10:AA10)</f>
        <v>7.4349289654930567E-2</v>
      </c>
      <c r="AB22" s="18">
        <f>SUM($H15:AB15)/SUM($H10:AB10)</f>
        <v>7.6053836782409956E-2</v>
      </c>
      <c r="AC22" s="18">
        <f>SUM($H15:AC15)/SUM($H10:AC10)</f>
        <v>7.3882968189206713E-2</v>
      </c>
      <c r="AD22" s="18">
        <f>SUM($H15:AD15)/SUM($H10:AD10)</f>
        <v>7.4260139124939825E-2</v>
      </c>
      <c r="AE22" s="18">
        <f>SUM($H15:AE15)/SUM($H10:AE10)</f>
        <v>7.4780801250793755E-2</v>
      </c>
      <c r="AF22" s="18">
        <f>SUM($H15:AF15)/SUM($H10:AF10)</f>
        <v>7.3689996323194049E-2</v>
      </c>
      <c r="AG22" s="18">
        <f>SUM($H15:AG15)/SUM($H10:AG10)</f>
        <v>7.2732220237298043E-2</v>
      </c>
      <c r="AH22" s="18">
        <f>SUM($H15:AH15)/SUM($H10:AH10)</f>
        <v>7.3191757121069068E-2</v>
      </c>
      <c r="AI22" s="18">
        <f>SUM($H15:AI15)/SUM($H10:AI10)</f>
        <v>7.2270322648248356E-2</v>
      </c>
      <c r="AJ22" s="18">
        <f>SUM($H15:AJ15)/SUM($H10:AJ10)</f>
        <v>7.1644770086730439E-2</v>
      </c>
      <c r="AK22" s="18">
        <f>SUM($H15:AK15)/SUM($H10:AK10)</f>
        <v>6.7778408496149717E-2</v>
      </c>
      <c r="AL22" s="18">
        <f>SUM($H15:AL15)/SUM($H10:AL10)</f>
        <v>6.8809665944184806E-2</v>
      </c>
      <c r="AM22" s="18">
        <f>SUM($H15:AM15)/SUM($H10:AM10)</f>
        <v>6.559640343034405E-2</v>
      </c>
      <c r="AN22" s="18">
        <v>6.652425927383275E-2</v>
      </c>
      <c r="AO22" s="18">
        <f>SUM($H15:AO15)/SUM($H10:AO10)</f>
        <v>6.3684265012852445E-2</v>
      </c>
      <c r="AP22" s="18">
        <f>SUM($H15:AP15)/SUM($H10:AP10)</f>
        <v>6.347165120716701E-2</v>
      </c>
      <c r="AQ22" s="18">
        <f>SUM($H15:AQ15)/SUM($H10:AQ10)</f>
        <v>6.3629776856314171E-2</v>
      </c>
      <c r="AR22" s="18">
        <f>SUM($H15:AR15)/SUM($H10:AR10)</f>
        <v>6.3172136049148786E-2</v>
      </c>
    </row>
    <row r="23" spans="1:44" x14ac:dyDescent="0.3">
      <c r="A23" s="13" t="s">
        <v>65</v>
      </c>
      <c r="B23" s="14"/>
      <c r="C23" s="14">
        <f t="shared" ref="C23:S23" si="7">B13+C10-C15-C13</f>
        <v>236007</v>
      </c>
      <c r="D23" s="14">
        <f t="shared" si="7"/>
        <v>137918</v>
      </c>
      <c r="E23" s="14">
        <f t="shared" si="7"/>
        <v>134604</v>
      </c>
      <c r="F23" s="14">
        <f t="shared" si="7"/>
        <v>72964</v>
      </c>
      <c r="G23" s="14">
        <f t="shared" si="7"/>
        <v>190795</v>
      </c>
      <c r="H23" s="14">
        <f t="shared" si="7"/>
        <v>272698.5</v>
      </c>
      <c r="I23" s="14">
        <f t="shared" si="7"/>
        <v>200317</v>
      </c>
      <c r="J23" s="14">
        <f t="shared" si="7"/>
        <v>213871</v>
      </c>
      <c r="K23" s="14">
        <f t="shared" si="7"/>
        <v>240588</v>
      </c>
      <c r="L23" s="14">
        <f t="shared" si="7"/>
        <v>258614</v>
      </c>
      <c r="M23" s="14">
        <f t="shared" si="7"/>
        <v>181716</v>
      </c>
      <c r="N23" s="14">
        <f t="shared" si="7"/>
        <v>154566</v>
      </c>
      <c r="O23" s="14">
        <f t="shared" si="7"/>
        <v>145856</v>
      </c>
      <c r="P23" s="14">
        <f t="shared" si="7"/>
        <v>257600.96999999997</v>
      </c>
      <c r="Q23" s="14">
        <f t="shared" si="7"/>
        <v>269230</v>
      </c>
      <c r="R23" s="14">
        <f t="shared" si="7"/>
        <v>104738</v>
      </c>
      <c r="S23" s="14">
        <f t="shared" si="7"/>
        <v>171344</v>
      </c>
      <c r="T23" s="14">
        <f>S13+T10-T15-T13</f>
        <v>165473</v>
      </c>
      <c r="U23" s="14">
        <f t="shared" ref="U23:AJ23" si="8">T13+U10-U15-U13</f>
        <v>202048</v>
      </c>
      <c r="V23" s="14">
        <f t="shared" si="8"/>
        <v>71865</v>
      </c>
      <c r="W23" s="14">
        <f t="shared" si="8"/>
        <v>301017</v>
      </c>
      <c r="X23" s="14">
        <f t="shared" si="8"/>
        <v>333777</v>
      </c>
      <c r="Y23" s="14">
        <f t="shared" si="8"/>
        <v>282545</v>
      </c>
      <c r="Z23" s="14">
        <f t="shared" si="8"/>
        <v>298910</v>
      </c>
      <c r="AA23" s="14">
        <f t="shared" si="8"/>
        <v>219057</v>
      </c>
      <c r="AB23" s="14">
        <f t="shared" si="8"/>
        <v>388802</v>
      </c>
      <c r="AC23" s="14">
        <f t="shared" si="8"/>
        <v>251192</v>
      </c>
      <c r="AD23" s="14">
        <f t="shared" si="8"/>
        <v>187463</v>
      </c>
      <c r="AE23" s="14">
        <f t="shared" si="8"/>
        <v>246077.71999999997</v>
      </c>
      <c r="AF23" s="14">
        <f t="shared" si="8"/>
        <v>352570.28</v>
      </c>
      <c r="AG23" s="14">
        <f t="shared" si="8"/>
        <v>382521.24</v>
      </c>
      <c r="AH23" s="14">
        <f t="shared" si="8"/>
        <v>351062</v>
      </c>
      <c r="AI23" s="14">
        <f t="shared" si="8"/>
        <v>247596</v>
      </c>
      <c r="AJ23" s="14">
        <f t="shared" si="8"/>
        <v>39389</v>
      </c>
      <c r="AK23" s="14">
        <f>AJ13+AK10-AK15-AK13</f>
        <v>-280177.95999999996</v>
      </c>
      <c r="AL23" s="14">
        <f>AK13+AL10-AL15-AL13</f>
        <v>55210</v>
      </c>
      <c r="AM23" s="14">
        <f>AL13+AM10-AM15-AM13</f>
        <v>1548337</v>
      </c>
      <c r="AN23" s="14">
        <v>-14865</v>
      </c>
      <c r="AO23" s="14">
        <f>AN13+AO10-AO15-AO13</f>
        <v>1965875.6</v>
      </c>
      <c r="AP23" s="14">
        <f>AO13+AP10-AP15-AP13</f>
        <v>935006.45</v>
      </c>
      <c r="AQ23" s="14">
        <f>AP13+AQ10-AQ15-AQ13</f>
        <v>753601</v>
      </c>
      <c r="AR23" s="14">
        <f>AQ13+AR10-AR15-AR13</f>
        <v>762299</v>
      </c>
    </row>
    <row r="24" spans="1:44" x14ac:dyDescent="0.3">
      <c r="A24" s="13" t="s">
        <v>66</v>
      </c>
      <c r="B24" s="14"/>
      <c r="C24" s="19">
        <f t="shared" ref="C24:S24" si="9">C15/(C15+C23)</f>
        <v>3.6352129353640114E-2</v>
      </c>
      <c r="D24" s="19">
        <f t="shared" si="9"/>
        <v>7.7187629638550997E-2</v>
      </c>
      <c r="E24" s="19">
        <f t="shared" si="9"/>
        <v>7.095972667978051E-2</v>
      </c>
      <c r="F24" s="19">
        <f t="shared" si="9"/>
        <v>0.11611285418357581</v>
      </c>
      <c r="G24" s="19">
        <f t="shared" si="9"/>
        <v>7.3909582471774857E-2</v>
      </c>
      <c r="H24" s="19">
        <f t="shared" si="9"/>
        <v>6.8791009532395295E-2</v>
      </c>
      <c r="I24" s="19">
        <f t="shared" si="9"/>
        <v>9.3694859428302552E-2</v>
      </c>
      <c r="J24" s="19">
        <f t="shared" si="9"/>
        <v>5.4989483730712808E-2</v>
      </c>
      <c r="K24" s="19">
        <f t="shared" si="9"/>
        <v>7.053614890707216E-2</v>
      </c>
      <c r="L24" s="19">
        <f t="shared" si="9"/>
        <v>7.2882012160146836E-2</v>
      </c>
      <c r="M24" s="19">
        <f t="shared" si="9"/>
        <v>5.2802768887545218E-2</v>
      </c>
      <c r="N24" s="19">
        <f t="shared" si="9"/>
        <v>0.11302521490629053</v>
      </c>
      <c r="O24" s="19">
        <f t="shared" si="9"/>
        <v>0.16306986085210157</v>
      </c>
      <c r="P24" s="19">
        <f t="shared" si="9"/>
        <v>7.2112708200680956E-2</v>
      </c>
      <c r="Q24" s="19">
        <f t="shared" si="9"/>
        <v>6.2461912406369814E-2</v>
      </c>
      <c r="R24" s="19">
        <f t="shared" si="9"/>
        <v>8.9741361329347152E-2</v>
      </c>
      <c r="S24" s="19">
        <f t="shared" si="9"/>
        <v>0.17474690067717916</v>
      </c>
      <c r="T24" s="19">
        <f>T15/(T15+T23)</f>
        <v>6.3632453966206051E-2</v>
      </c>
      <c r="U24" s="19">
        <f t="shared" ref="U24:AJ24" si="10">U15/(U15+U23)</f>
        <v>9.0099299723041593E-2</v>
      </c>
      <c r="V24" s="19">
        <f t="shared" si="10"/>
        <v>0.15926718843224652</v>
      </c>
      <c r="W24" s="19">
        <f t="shared" si="10"/>
        <v>2.3521740822920315E-2</v>
      </c>
      <c r="X24" s="19">
        <f t="shared" si="10"/>
        <v>3.033815583057347E-2</v>
      </c>
      <c r="Y24" s="17">
        <f t="shared" si="10"/>
        <v>3.8543991942070019E-2</v>
      </c>
      <c r="Z24" s="17">
        <f t="shared" si="10"/>
        <v>7.179167093646846E-2</v>
      </c>
      <c r="AA24" s="17">
        <f t="shared" si="10"/>
        <v>7.7102941548209875E-2</v>
      </c>
      <c r="AB24" s="17">
        <f t="shared" si="10"/>
        <v>8.1044030716796153E-2</v>
      </c>
      <c r="AC24" s="17">
        <f t="shared" si="10"/>
        <v>6.3603897798355291E-2</v>
      </c>
      <c r="AD24" s="17">
        <f t="shared" si="10"/>
        <v>0.10400386190810762</v>
      </c>
      <c r="AE24" s="17">
        <f t="shared" si="10"/>
        <v>8.7478026661848896E-2</v>
      </c>
      <c r="AF24" s="17">
        <f t="shared" si="10"/>
        <v>6.2645347415150279E-2</v>
      </c>
      <c r="AG24" s="17">
        <f t="shared" si="10"/>
        <v>5.0267246164310685E-2</v>
      </c>
      <c r="AH24" s="17">
        <f t="shared" si="10"/>
        <v>6.5892194792270889E-2</v>
      </c>
      <c r="AI24" s="17">
        <f t="shared" si="10"/>
        <v>7.5713571103263419E-2</v>
      </c>
      <c r="AJ24" s="17">
        <f t="shared" si="10"/>
        <v>0.3041796212549463</v>
      </c>
      <c r="AK24" s="17">
        <f>AK15/(AK15+AK23)</f>
        <v>-7.9946203501613661E-2</v>
      </c>
      <c r="AL24" s="17">
        <f>AL15/(AL15+AL23)</f>
        <v>0.26603919066230625</v>
      </c>
      <c r="AM24" s="17">
        <f>AM15/(AM15+AM23)</f>
        <v>1.6654176404836907E-2</v>
      </c>
      <c r="AN24" s="17">
        <v>1.5360606278284605</v>
      </c>
      <c r="AO24" s="17">
        <f>AO15/(AO15+AO23)</f>
        <v>2.3844625159926313E-2</v>
      </c>
      <c r="AP24" s="17">
        <f>AP15/(AP15+AP23)</f>
        <v>4.9606150865901928E-2</v>
      </c>
      <c r="AQ24" s="17">
        <f>AQ15/(AQ15+AQ23)</f>
        <v>6.9022685129707842E-2</v>
      </c>
      <c r="AR24" s="17">
        <f>AR15/(AR15+AR23)</f>
        <v>5.2550398965920106E-2</v>
      </c>
    </row>
    <row r="25" spans="1:44" x14ac:dyDescent="0.3">
      <c r="A25" s="24" t="s">
        <v>76</v>
      </c>
      <c r="M25" s="25"/>
      <c r="N25" s="7">
        <f>'[2]Query result'!$B2</f>
        <v>6201.6699999999191</v>
      </c>
      <c r="O25" s="7">
        <f>'[2]Query result'!$B3</f>
        <v>1952.6599999999994</v>
      </c>
      <c r="P25" s="7">
        <f>'[2]Query result'!$B4</f>
        <v>740.24000000000012</v>
      </c>
      <c r="Q25" s="7">
        <f>'[2]Query result'!$B5</f>
        <v>2892.66</v>
      </c>
      <c r="R25" s="7">
        <f>'[2]Query result'!$B6</f>
        <v>4134.8500000000013</v>
      </c>
      <c r="S25" s="7">
        <f>'[2]Query result'!$B7</f>
        <v>4406.0400000000009</v>
      </c>
      <c r="T25" s="7">
        <f>'[2]Query result'!$B8</f>
        <v>3027.7400000000048</v>
      </c>
      <c r="U25" s="7">
        <f>'[2]Query result'!$B9</f>
        <v>2321.0100000000002</v>
      </c>
      <c r="V25" s="7">
        <f>'[2]Query result'!$B10</f>
        <v>1483.069999999999</v>
      </c>
      <c r="W25" s="7">
        <f>'[2]Query result'!$B11</f>
        <v>2014.7500000000011</v>
      </c>
      <c r="X25" s="7">
        <f>'[2]Query result'!$B12</f>
        <v>2680.7699999999995</v>
      </c>
      <c r="Y25" s="7">
        <f>'[2]Query result'!$B13</f>
        <v>3759.9199999999987</v>
      </c>
      <c r="Z25" s="7">
        <f>'[2]Query result'!$B14</f>
        <v>3789.6400000000021</v>
      </c>
      <c r="AA25" s="7">
        <f>'[2]Query result'!$B15</f>
        <v>5936.51</v>
      </c>
      <c r="AB25" s="7">
        <f>'[2]Query result'!$B16</f>
        <v>7660.3600000000042</v>
      </c>
      <c r="AC25" s="7">
        <f>'[2]Query result'!$B17</f>
        <v>6112.0499999999993</v>
      </c>
      <c r="AD25" s="7">
        <f>'[2]Query result'!$B18</f>
        <v>6406.4800000000068</v>
      </c>
      <c r="AE25" s="7">
        <f>'[2]Query result'!$B19</f>
        <v>7984.439999999996</v>
      </c>
      <c r="AF25" s="7">
        <f>'[2]Query result'!$B20</f>
        <v>7689.239999999998</v>
      </c>
      <c r="AG25" s="7">
        <f>'[2]Query result'!$B21</f>
        <v>9476.2100000000082</v>
      </c>
      <c r="AH25" s="7">
        <f>'[2]Query result'!$B22</f>
        <v>8505.7899999999936</v>
      </c>
      <c r="AI25" s="7">
        <f>'[2]Query result'!$B23</f>
        <v>7800.3700000000063</v>
      </c>
      <c r="AJ25" s="7">
        <f>'[2]Query result'!$B24</f>
        <v>7067.3499999999995</v>
      </c>
      <c r="AK25" s="7">
        <f>'[2]Query result'!$B25</f>
        <v>8015.7799999999979</v>
      </c>
      <c r="AL25" s="7">
        <f>'[2]Query result'!$B26</f>
        <v>6854.6600000000026</v>
      </c>
      <c r="AM25" s="7">
        <f>'[2]Query result'!$B27</f>
        <v>11231.120000000014</v>
      </c>
      <c r="AN25" s="7">
        <f>'[2]Query result'!$B28</f>
        <v>15001.139999999996</v>
      </c>
      <c r="AO25" s="7">
        <f>'[2]Query result'!$B29</f>
        <v>15469.73</v>
      </c>
      <c r="AP25" s="7">
        <f>'[2]Query result'!$B30</f>
        <v>17931.719999999998</v>
      </c>
      <c r="AQ25" s="7">
        <f>'[2]Query result'!$B31</f>
        <v>20922.020000000026</v>
      </c>
      <c r="AR25" s="7">
        <f>'[2]Query result'!$B32</f>
        <v>17217.55000000001</v>
      </c>
    </row>
    <row r="26" spans="1:44" x14ac:dyDescent="0.3">
      <c r="A26" t="s">
        <v>67</v>
      </c>
      <c r="B26" s="7"/>
      <c r="C26" s="7"/>
      <c r="D26" s="7"/>
      <c r="E26" s="7"/>
      <c r="F26" s="7"/>
      <c r="G26" s="7"/>
      <c r="H26" s="7">
        <v>318</v>
      </c>
      <c r="I26" s="7">
        <f>'[1]202305 daily'!AE29</f>
        <v>1369</v>
      </c>
      <c r="J26" s="7">
        <f>'[1]202306 daily'!AF29</f>
        <v>786</v>
      </c>
      <c r="K26" s="7">
        <f>'[1]202307 daily'!AF31</f>
        <v>868</v>
      </c>
      <c r="L26" s="7">
        <f>'[1]202308 daily'!AF31</f>
        <v>2730</v>
      </c>
      <c r="M26" s="7">
        <f>'[1]202309 daily'!AF31</f>
        <v>2610</v>
      </c>
      <c r="N26" s="7">
        <f>'[1]202310 daily'!AF34</f>
        <v>1495</v>
      </c>
      <c r="O26" s="7">
        <f>'[1]202311 daily'!AF39</f>
        <v>719</v>
      </c>
      <c r="P26" s="7">
        <f>'[1]202312 daily'!AF39</f>
        <v>421</v>
      </c>
      <c r="Q26" s="7">
        <f>'[1]202401 daily '!AF39</f>
        <v>1874</v>
      </c>
      <c r="R26" s="7">
        <f>'[1]202402 daily'!G43</f>
        <v>3450</v>
      </c>
      <c r="S26" s="7">
        <f>'[1]202403 daily'!E43</f>
        <v>4198</v>
      </c>
      <c r="T26" s="7">
        <f>'[1]202404 daily'!E41</f>
        <v>2418</v>
      </c>
      <c r="U26" s="7">
        <f>'[1]202405 daily'!E44</f>
        <v>2114</v>
      </c>
      <c r="V26" s="7">
        <f>'[1]202406 daily'!E44</f>
        <v>1084</v>
      </c>
      <c r="W26" s="7">
        <f>'[1]202407 daily'!G44</f>
        <v>1253</v>
      </c>
      <c r="X26" s="7">
        <f>'[1]202408 daily'!G44</f>
        <v>2820</v>
      </c>
      <c r="Y26" s="7">
        <f>'[1]202409 daily'!G44</f>
        <v>3183</v>
      </c>
      <c r="Z26" s="7">
        <f>'[1]202410 daily'!G44</f>
        <v>3504</v>
      </c>
      <c r="AA26" s="7">
        <f>'[1]202411 daily'!G44</f>
        <v>2347</v>
      </c>
      <c r="AB26" s="7">
        <f>'[1]202412 daily '!E49</f>
        <v>1860</v>
      </c>
      <c r="AC26" s="7">
        <f>'[1]202501 daily '!G52</f>
        <v>2373</v>
      </c>
      <c r="AD26" s="7">
        <f>'[1]202502 daily  '!G52</f>
        <v>2930</v>
      </c>
      <c r="AE26" s="7">
        <f>'[1]202503 daily  '!G52</f>
        <v>3928</v>
      </c>
      <c r="AF26" s="7">
        <f>'[1]202504 daily'!G52</f>
        <v>5032</v>
      </c>
      <c r="AG26" s="7">
        <f>'[1]202505 daily'!H52</f>
        <v>5376</v>
      </c>
      <c r="AH26" s="7">
        <f>'[1]202506 daily'!G55</f>
        <v>5912</v>
      </c>
      <c r="AI26" s="7">
        <f>'[1]202507 daily'!G55</f>
        <v>4289</v>
      </c>
      <c r="AJ26" s="7">
        <f>'[1]202508 daily'!G55</f>
        <v>4989</v>
      </c>
      <c r="AK26" s="7">
        <f>'[1]202509 daily'!G55</f>
        <v>5057</v>
      </c>
      <c r="AL26" s="12">
        <v>4357</v>
      </c>
      <c r="AM26" s="7">
        <f>'[1]202511 daily'!G53</f>
        <v>7602</v>
      </c>
      <c r="AN26" s="7">
        <v>9714</v>
      </c>
      <c r="AO26" s="7">
        <v>8658</v>
      </c>
      <c r="AP26" s="7">
        <v>11558</v>
      </c>
      <c r="AQ26" s="7">
        <f>13210+466</f>
        <v>13676</v>
      </c>
      <c r="AR26" s="7">
        <v>11248</v>
      </c>
    </row>
    <row r="27" spans="1:44" x14ac:dyDescent="0.3">
      <c r="A27" t="s">
        <v>68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f>+'[1]202310 daily'!AF20</f>
        <v>3348</v>
      </c>
      <c r="O27" s="7">
        <f>'[1]202311 daily'!AF26</f>
        <v>1194</v>
      </c>
      <c r="P27" s="7">
        <f>'[1]202312 daily'!AF26</f>
        <v>191</v>
      </c>
      <c r="Q27" s="7">
        <f>'[1]202401 daily '!AF26</f>
        <v>684</v>
      </c>
      <c r="R27" s="7">
        <f>'[1]202402 daily'!G30</f>
        <v>1794</v>
      </c>
      <c r="S27" s="7">
        <f>'[1]202403 daily'!E30</f>
        <v>2373</v>
      </c>
      <c r="T27" s="7">
        <f>'[1]202404 daily'!E30</f>
        <v>2052</v>
      </c>
      <c r="U27" s="7">
        <f>'[1]202405 daily'!E33</f>
        <v>10141</v>
      </c>
      <c r="V27" s="7">
        <f>'[1]202406 daily'!E33</f>
        <v>1640</v>
      </c>
      <c r="W27" s="7">
        <f>'[1]202407 daily'!G33</f>
        <v>0</v>
      </c>
      <c r="X27" s="7">
        <f>'[1]202408 daily'!G33</f>
        <v>0</v>
      </c>
      <c r="Y27" s="7">
        <f>'[1]202409 daily'!G33</f>
        <v>32</v>
      </c>
      <c r="Z27" s="7">
        <f>'[1]202410 daily'!G33</f>
        <v>10907</v>
      </c>
      <c r="AA27" s="7">
        <f>'[1]202411 daily'!G33</f>
        <v>18927</v>
      </c>
      <c r="AB27" s="7">
        <f>'[1]202412 daily '!E38</f>
        <v>8248</v>
      </c>
      <c r="AC27" s="7">
        <f>'[1]202501 daily '!G41</f>
        <v>5225</v>
      </c>
      <c r="AD27" s="7">
        <f>'[1]202502 daily  '!G41</f>
        <v>7464</v>
      </c>
      <c r="AE27" s="7">
        <f>'[1]202503 daily  '!G41</f>
        <v>9703</v>
      </c>
      <c r="AF27" s="7">
        <f>'[1]202504 daily'!G41</f>
        <v>14421</v>
      </c>
      <c r="AG27" s="7">
        <f>'[1]202505 daily'!H41</f>
        <v>23900</v>
      </c>
      <c r="AH27" s="7">
        <f>'[1]202506 daily'!G44</f>
        <v>10711</v>
      </c>
      <c r="AI27" s="7">
        <f>'[1]202507 daily'!G44</f>
        <v>103</v>
      </c>
      <c r="AJ27" s="7">
        <f>'[1]202508 daily'!G44</f>
        <v>128</v>
      </c>
      <c r="AK27" s="7">
        <f>'[1]202509 daily'!G44</f>
        <v>1944</v>
      </c>
      <c r="AL27" s="8">
        <v>19899</v>
      </c>
      <c r="AM27" s="7">
        <f>'[1]202511 daily'!G42</f>
        <v>55058</v>
      </c>
      <c r="AN27" s="7">
        <v>39410</v>
      </c>
      <c r="AO27" s="7">
        <v>20640.896629999974</v>
      </c>
      <c r="AP27" s="7">
        <v>14238.191320000033</v>
      </c>
      <c r="AQ27" s="7">
        <v>19337</v>
      </c>
      <c r="AR27" s="7">
        <v>24638</v>
      </c>
    </row>
    <row r="28" spans="1:44" x14ac:dyDescent="0.3">
      <c r="A28" t="s">
        <v>69</v>
      </c>
      <c r="B28" s="5"/>
      <c r="C28" s="5"/>
      <c r="D28" s="5"/>
      <c r="E28" s="5"/>
      <c r="F28" s="5"/>
      <c r="G28" s="5"/>
      <c r="H28" s="5">
        <v>1550</v>
      </c>
      <c r="I28" s="5">
        <f>'[1]202305 daily'!AE31</f>
        <v>2233</v>
      </c>
      <c r="J28" s="5">
        <f>'[1]202306 daily'!AF31</f>
        <v>1405</v>
      </c>
      <c r="K28" s="5">
        <f>'[1]202307 daily'!AF33</f>
        <v>1251</v>
      </c>
      <c r="L28" s="5">
        <f>'[1]202308 daily'!AF33</f>
        <v>2545</v>
      </c>
      <c r="M28" s="5">
        <f>'[1]202309 daily'!AF33</f>
        <v>1906</v>
      </c>
      <c r="N28" s="5">
        <f>'[1]202310 daily'!AF36</f>
        <v>2336</v>
      </c>
      <c r="O28" s="5">
        <f>'[1]202311 daily'!AF41</f>
        <v>915</v>
      </c>
      <c r="P28" s="5">
        <f>'[1]202312 daily'!AF41</f>
        <v>466</v>
      </c>
      <c r="Q28" s="5">
        <f>'[1]202401 daily '!AF41</f>
        <v>884</v>
      </c>
      <c r="R28" s="7">
        <f>'[1]202402 daily'!G45</f>
        <v>863</v>
      </c>
      <c r="S28" s="7">
        <f>'[1]202403 daily'!E45</f>
        <v>716</v>
      </c>
      <c r="T28" s="7">
        <f>'[1]202404 daily'!E43</f>
        <v>1193</v>
      </c>
      <c r="U28" s="7">
        <f>'[1]202405 daily'!E46</f>
        <v>4831</v>
      </c>
      <c r="V28" s="7">
        <f>'[1]202406 daily'!E46</f>
        <v>1556</v>
      </c>
      <c r="W28" s="7">
        <f>'[1]202407 daily'!G46</f>
        <v>2970</v>
      </c>
      <c r="X28" s="7">
        <f>'[1]202408 daily'!G46</f>
        <v>2235</v>
      </c>
      <c r="Y28" s="7">
        <f>'[1]202409 daily'!G46</f>
        <v>1866</v>
      </c>
      <c r="Z28" s="7">
        <f>'[1]202410 daily'!G46</f>
        <v>2071</v>
      </c>
      <c r="AA28" s="7">
        <f>'[1]202411 daily'!G46</f>
        <v>6070</v>
      </c>
      <c r="AB28" s="7">
        <f>'[1]202412 daily '!E51</f>
        <v>5581</v>
      </c>
      <c r="AC28" s="7">
        <f>'[1]202501 daily '!G54</f>
        <v>3820</v>
      </c>
      <c r="AD28" s="7">
        <f>'[1]202502 daily  '!G54</f>
        <v>3441</v>
      </c>
      <c r="AE28" s="7">
        <f>'[1]202503 daily  '!G54</f>
        <v>4143</v>
      </c>
      <c r="AF28" s="7">
        <f>'[1]202504 daily'!G54</f>
        <v>2164</v>
      </c>
      <c r="AG28" s="7">
        <f>'[1]202505 daily'!H54</f>
        <v>3440</v>
      </c>
      <c r="AH28" s="7">
        <f>'[1]202506 daily'!G57</f>
        <v>2639</v>
      </c>
      <c r="AI28" s="7">
        <f>'[1]202507 daily'!G57</f>
        <v>3036</v>
      </c>
      <c r="AJ28" s="7">
        <f>'[1]202508 daily'!G57</f>
        <v>1520</v>
      </c>
      <c r="AK28" s="7">
        <f>'[1]202509 daily'!G57</f>
        <v>2853</v>
      </c>
      <c r="AL28" s="12">
        <v>1746</v>
      </c>
      <c r="AM28" s="7">
        <f>'[1]202511 daily'!G55</f>
        <v>3371</v>
      </c>
      <c r="AN28" s="7">
        <v>14569</v>
      </c>
      <c r="AO28" s="7">
        <v>22265</v>
      </c>
      <c r="AP28" s="7">
        <v>6905</v>
      </c>
      <c r="AQ28" s="7">
        <v>8538</v>
      </c>
      <c r="AR28" s="7">
        <v>6600</v>
      </c>
    </row>
    <row r="29" spans="1:44" x14ac:dyDescent="0.3">
      <c r="A29" t="s">
        <v>70</v>
      </c>
      <c r="B29" s="5"/>
      <c r="C29" s="5"/>
      <c r="D29" s="5"/>
      <c r="E29" s="5"/>
      <c r="F29" s="5"/>
      <c r="G29" s="5"/>
      <c r="H29" s="5">
        <f t="shared" ref="H29:AJ29" si="11">SUM(H26:H28)</f>
        <v>1868</v>
      </c>
      <c r="I29" s="5">
        <f t="shared" si="11"/>
        <v>3602</v>
      </c>
      <c r="J29" s="5">
        <f t="shared" si="11"/>
        <v>2191</v>
      </c>
      <c r="K29" s="5">
        <f t="shared" si="11"/>
        <v>2119</v>
      </c>
      <c r="L29" s="5">
        <f t="shared" si="11"/>
        <v>5275</v>
      </c>
      <c r="M29" s="5">
        <f t="shared" si="11"/>
        <v>4516</v>
      </c>
      <c r="N29" s="5">
        <f t="shared" si="11"/>
        <v>7179</v>
      </c>
      <c r="O29" s="5">
        <f t="shared" si="11"/>
        <v>2828</v>
      </c>
      <c r="P29" s="5">
        <f t="shared" si="11"/>
        <v>1078</v>
      </c>
      <c r="Q29" s="5">
        <f t="shared" si="11"/>
        <v>3442</v>
      </c>
      <c r="R29" s="5">
        <f t="shared" si="11"/>
        <v>6107</v>
      </c>
      <c r="S29" s="5">
        <f t="shared" si="11"/>
        <v>7287</v>
      </c>
      <c r="T29" s="5">
        <f t="shared" si="11"/>
        <v>5663</v>
      </c>
      <c r="U29" s="5">
        <f t="shared" si="11"/>
        <v>17086</v>
      </c>
      <c r="V29" s="5">
        <f t="shared" si="11"/>
        <v>4280</v>
      </c>
      <c r="W29" s="5">
        <f t="shared" si="11"/>
        <v>4223</v>
      </c>
      <c r="X29" s="5">
        <f t="shared" si="11"/>
        <v>5055</v>
      </c>
      <c r="Y29" s="5">
        <f t="shared" si="11"/>
        <v>5081</v>
      </c>
      <c r="Z29" s="5">
        <f t="shared" si="11"/>
        <v>16482</v>
      </c>
      <c r="AA29" s="5">
        <f t="shared" si="11"/>
        <v>27344</v>
      </c>
      <c r="AB29" s="5">
        <f t="shared" si="11"/>
        <v>15689</v>
      </c>
      <c r="AC29" s="5">
        <f t="shared" si="11"/>
        <v>11418</v>
      </c>
      <c r="AD29" s="5">
        <f t="shared" si="11"/>
        <v>13835</v>
      </c>
      <c r="AE29" s="5">
        <f t="shared" si="11"/>
        <v>17774</v>
      </c>
      <c r="AF29" s="5">
        <f t="shared" si="11"/>
        <v>21617</v>
      </c>
      <c r="AG29" s="5">
        <f t="shared" si="11"/>
        <v>32716</v>
      </c>
      <c r="AH29" s="5">
        <f t="shared" si="11"/>
        <v>19262</v>
      </c>
      <c r="AI29" s="5">
        <f t="shared" si="11"/>
        <v>7428</v>
      </c>
      <c r="AJ29" s="5">
        <f t="shared" si="11"/>
        <v>6637</v>
      </c>
      <c r="AK29" s="5">
        <f>SUM(AK26:AK28)</f>
        <v>9854</v>
      </c>
      <c r="AL29" s="5">
        <f>SUM(AL26:AL28)</f>
        <v>26002</v>
      </c>
      <c r="AM29" s="5">
        <f>SUM(AM26:AM28)</f>
        <v>66031</v>
      </c>
      <c r="AN29" s="5">
        <v>63693</v>
      </c>
      <c r="AO29" s="5">
        <f>SUM(AO26:AO28)</f>
        <v>51563.896629999974</v>
      </c>
      <c r="AP29" s="5">
        <f>SUM(AP26:AP28)</f>
        <v>32701.191320000034</v>
      </c>
      <c r="AQ29" s="5">
        <f>SUM(AQ26:AQ28)</f>
        <v>41551</v>
      </c>
      <c r="AR29" s="5">
        <f>SUM(AR26:AR28)</f>
        <v>42486</v>
      </c>
    </row>
    <row r="30" spans="1:44" ht="15" thickBot="1" x14ac:dyDescent="0.3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20"/>
      <c r="AM30" s="7"/>
      <c r="AN30" s="7"/>
      <c r="AO30" s="7"/>
      <c r="AP30" s="7"/>
      <c r="AQ30" s="7"/>
      <c r="AR30" s="7"/>
    </row>
    <row r="31" spans="1:44" ht="15" customHeight="1" x14ac:dyDescent="0.3">
      <c r="A31" t="s">
        <v>71</v>
      </c>
      <c r="B31" s="5"/>
      <c r="C31" s="5"/>
      <c r="D31" s="5"/>
      <c r="E31" s="5"/>
      <c r="F31" s="5">
        <f>'[1]202302 daily'!AE32</f>
        <v>155</v>
      </c>
      <c r="G31" s="5">
        <f>'[1]202303 daily'!AF30</f>
        <v>139</v>
      </c>
      <c r="H31" s="5">
        <f>'[1]202304 daily'!AE30</f>
        <v>122</v>
      </c>
      <c r="I31" s="5">
        <f>'[1]202305 daily'!AE34</f>
        <v>153</v>
      </c>
      <c r="J31" s="5">
        <f>'[1]202306 daily'!AF34</f>
        <v>108</v>
      </c>
      <c r="K31" s="5">
        <f>'[1]202307 daily'!AF36</f>
        <v>115</v>
      </c>
      <c r="L31" s="5">
        <f>'[1]202308 daily'!AF36</f>
        <v>151</v>
      </c>
      <c r="M31" s="5">
        <f>'[1]202309 daily'!AF36</f>
        <v>105</v>
      </c>
      <c r="N31" s="5">
        <f>'[1]202310 daily'!AF39</f>
        <v>123</v>
      </c>
      <c r="O31" s="5">
        <f>'[1]202311 daily'!AF44</f>
        <v>101</v>
      </c>
      <c r="P31" s="5">
        <f>'[1]202312 daily'!AF44</f>
        <v>120</v>
      </c>
      <c r="Q31">
        <f>'[1]202401 daily '!AF44</f>
        <v>101</v>
      </c>
      <c r="R31">
        <f>'[1]202402 daily'!G48</f>
        <v>132</v>
      </c>
      <c r="S31" s="21">
        <f>'[1]202403 daily'!E48</f>
        <v>138</v>
      </c>
      <c r="T31">
        <f>'[1]202404 daily'!E46</f>
        <v>59</v>
      </c>
      <c r="U31" s="21">
        <f>'[1]202405 daily'!E49</f>
        <v>142</v>
      </c>
      <c r="V31" s="7">
        <f>'[1]202406 daily'!E49</f>
        <v>125</v>
      </c>
      <c r="W31" s="7">
        <f>'[1]202407 daily'!G49</f>
        <v>139</v>
      </c>
      <c r="X31" s="7">
        <f>'[1]202408 daily'!G49</f>
        <v>147</v>
      </c>
      <c r="Y31" s="7">
        <f>'[1]202409 daily'!G49</f>
        <v>169</v>
      </c>
      <c r="Z31" s="7">
        <f>'[1]202410 daily'!G49</f>
        <v>134</v>
      </c>
      <c r="AA31" s="7">
        <f>'[1]202411 daily'!G49</f>
        <v>156</v>
      </c>
      <c r="AB31" s="7">
        <f>'[1]202412 daily '!E54</f>
        <v>167</v>
      </c>
      <c r="AC31" s="7">
        <f>'[1]202501 daily '!G57</f>
        <v>181</v>
      </c>
      <c r="AD31" s="7">
        <f>'[1]202502 daily  '!G57</f>
        <v>165</v>
      </c>
      <c r="AE31" s="7">
        <f>'[1]202503 daily  '!G57</f>
        <v>217</v>
      </c>
      <c r="AF31" s="7">
        <f>'[1]202504 daily'!G57</f>
        <v>196</v>
      </c>
      <c r="AG31" s="7">
        <f>'[1]202505 daily'!H57</f>
        <v>246</v>
      </c>
      <c r="AH31" s="7">
        <f>'[1]202506 daily'!G60</f>
        <v>236</v>
      </c>
      <c r="AI31" s="7">
        <f>'[1]202507 daily'!G60</f>
        <v>265</v>
      </c>
      <c r="AJ31" s="7">
        <f>'[1]202508 daily'!G60</f>
        <v>240</v>
      </c>
      <c r="AK31" s="7">
        <f>'[1]202509 daily'!G60</f>
        <v>280</v>
      </c>
      <c r="AL31" s="8">
        <v>248</v>
      </c>
      <c r="AM31" s="7">
        <f>'[1]202511 daily'!G58</f>
        <v>303</v>
      </c>
      <c r="AN31" s="7">
        <v>312</v>
      </c>
      <c r="AO31" s="7">
        <v>336</v>
      </c>
      <c r="AP31" s="7">
        <v>376</v>
      </c>
      <c r="AQ31" s="7">
        <v>362</v>
      </c>
      <c r="AR31" s="7">
        <v>349</v>
      </c>
    </row>
    <row r="32" spans="1:44" x14ac:dyDescent="0.3">
      <c r="A32" t="s">
        <v>72</v>
      </c>
      <c r="B32" s="7"/>
      <c r="C32" s="7"/>
      <c r="D32" s="7"/>
      <c r="E32" s="7"/>
      <c r="F32" s="7">
        <f>'[1]202302 daily'!AE19</f>
        <v>55</v>
      </c>
      <c r="G32" s="7">
        <f>'[1]202303 daily'!AF17</f>
        <v>42</v>
      </c>
      <c r="H32" s="7">
        <f>'[1]202304 daily'!AE17</f>
        <v>49</v>
      </c>
      <c r="I32" s="7">
        <f>'[1]202305 daily'!AE17</f>
        <v>73</v>
      </c>
      <c r="J32" s="7">
        <f>'[1]202306 daily'!AF17</f>
        <v>45</v>
      </c>
      <c r="K32" s="7">
        <f>'[1]202307 daily'!AF17</f>
        <v>40</v>
      </c>
      <c r="L32" s="7">
        <f>'[1]202308 daily'!AF17</f>
        <v>56</v>
      </c>
      <c r="M32" s="7">
        <f>'[1]202309 daily'!AF17</f>
        <v>51</v>
      </c>
      <c r="N32" s="7">
        <f>'[1]202310 daily'!AF17</f>
        <v>38</v>
      </c>
      <c r="O32" s="7">
        <f>'[1]202311 daily'!AF17</f>
        <v>38</v>
      </c>
      <c r="P32" s="7">
        <f>'[1]202312 daily'!AF17</f>
        <v>44</v>
      </c>
      <c r="Q32">
        <f>'[1]202401 daily '!AF17</f>
        <v>48</v>
      </c>
      <c r="R32">
        <f>'[1]202402 daily'!G17</f>
        <v>48</v>
      </c>
      <c r="S32">
        <f>'[1]202403 daily'!E17</f>
        <v>52</v>
      </c>
      <c r="T32">
        <f>'[1]202404 daily'!E17</f>
        <v>24</v>
      </c>
      <c r="U32">
        <f>'[1]202405 daily'!E17</f>
        <v>39</v>
      </c>
      <c r="V32" s="7">
        <f>'[1]202406 daily'!E17</f>
        <v>47</v>
      </c>
      <c r="W32" s="7">
        <f>'[1]202407 daily'!G17</f>
        <v>43</v>
      </c>
      <c r="X32" s="7">
        <f>'[1]202408 daily'!G17</f>
        <v>38</v>
      </c>
      <c r="Y32" s="7">
        <f>'[1]202409 daily'!G17</f>
        <v>65</v>
      </c>
      <c r="Z32" s="7">
        <f>'[1]202410 daily'!G17</f>
        <v>78</v>
      </c>
      <c r="AA32" s="7">
        <f>'[1]202411 daily'!G17</f>
        <v>90</v>
      </c>
      <c r="AB32" s="7">
        <f>'[1]202412 daily '!E17+'[1]202412 daily '!E18</f>
        <v>93</v>
      </c>
      <c r="AC32" s="7">
        <f>'[1]202501 daily '!G17+'[1]202501 daily '!G18</f>
        <v>84</v>
      </c>
      <c r="AD32" s="7">
        <f>'[1]202502 daily  '!G17+'[1]202502 daily  '!G18</f>
        <v>72</v>
      </c>
      <c r="AE32" s="7">
        <f>'[1]202503 daily  '!G17+'[1]202503 daily  '!G18+'[1]202503 daily  '!G21+'[1]202503 daily  '!G22</f>
        <v>86</v>
      </c>
      <c r="AF32" s="7">
        <f>+'[1]202504 daily'!G17+'[1]202504 daily'!G18+'[1]202504 daily'!G21+'[1]202504 daily'!G22</f>
        <v>92</v>
      </c>
      <c r="AG32" s="7">
        <f>+'[1]202505 daily'!H17+'[1]202505 daily'!H18+'[1]202505 daily'!H21+'[1]202505 daily'!H22</f>
        <v>108</v>
      </c>
      <c r="AH32" s="7">
        <f>+'[1]202506 daily'!G17+'[1]202506 daily'!G18+'[1]202506 daily'!G21+'[1]202506 daily'!G22</f>
        <v>97</v>
      </c>
      <c r="AI32" s="7">
        <f>+'[1]202507 daily'!G17+'[1]202507 daily'!G18+'[1]202507 daily'!G21+'[1]202507 daily'!G22</f>
        <v>149</v>
      </c>
      <c r="AJ32" s="7">
        <f>+'[1]202508 daily'!G17+'[1]202508 daily'!G18+'[1]202508 daily'!G21+'[1]202508 daily'!G22</f>
        <v>133</v>
      </c>
      <c r="AK32" s="7">
        <f>+'[1]202509 daily'!G17+'[1]202509 daily'!G18+'[1]202509 daily'!G21+'[1]202509 daily'!G22</f>
        <v>153</v>
      </c>
      <c r="AL32" s="12">
        <v>115</v>
      </c>
      <c r="AM32" s="7">
        <f>+'[1]202511 daily'!G18+'[1]202511 daily'!G19</f>
        <v>164</v>
      </c>
      <c r="AN32" s="7">
        <v>195</v>
      </c>
      <c r="AO32" s="7">
        <v>179</v>
      </c>
      <c r="AP32" s="7">
        <v>225</v>
      </c>
      <c r="AQ32" s="7">
        <f>148+88</f>
        <v>236</v>
      </c>
      <c r="AR32">
        <f>72+114</f>
        <v>186</v>
      </c>
    </row>
    <row r="33" spans="1:44" x14ac:dyDescent="0.3">
      <c r="A33" s="13" t="s">
        <v>73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>
        <v>2657</v>
      </c>
      <c r="O33" s="14">
        <f>'[1]202311 daily'!AF25</f>
        <v>2382</v>
      </c>
      <c r="P33" s="14">
        <f>'[1]202312 daily'!AF25</f>
        <v>119</v>
      </c>
      <c r="Q33" s="14">
        <f>'[1]202401 daily '!AF25</f>
        <v>243</v>
      </c>
      <c r="R33" s="14">
        <f>'[1]202402 daily'!G29</f>
        <v>640</v>
      </c>
      <c r="S33" s="14">
        <f>'[1]202403 daily'!E29</f>
        <v>915</v>
      </c>
      <c r="T33" s="14">
        <f>'[1]202404 daily'!E29</f>
        <v>626</v>
      </c>
      <c r="U33" s="14">
        <f>'[1]202405 daily'!E32</f>
        <v>2646</v>
      </c>
      <c r="V33" s="14">
        <f>'[1]202406 daily'!E32</f>
        <v>377</v>
      </c>
      <c r="W33" s="14">
        <f>'[1]202407 daily'!G32</f>
        <v>0</v>
      </c>
      <c r="X33" s="14">
        <f>'[1]202408 daily'!G32</f>
        <v>0</v>
      </c>
      <c r="Y33" s="14">
        <f>'[1]202409 daily'!G32</f>
        <v>19</v>
      </c>
      <c r="Z33" s="14">
        <f>'[1]202410 daily'!G32</f>
        <v>4060</v>
      </c>
      <c r="AA33" s="14">
        <f>'[1]202411 daily'!G32</f>
        <v>6473</v>
      </c>
      <c r="AB33" s="14">
        <f>'[1]202412 daily '!E37</f>
        <v>2313</v>
      </c>
      <c r="AC33" s="14">
        <f>'[1]202501 daily '!G40</f>
        <v>1900</v>
      </c>
      <c r="AD33" s="14">
        <f>'[1]202502 daily  '!G40</f>
        <v>2625</v>
      </c>
      <c r="AE33" s="14">
        <f>'[1]202503 daily  '!G40</f>
        <v>3533</v>
      </c>
      <c r="AF33" s="14">
        <f>'[1]202504 daily'!G40</f>
        <v>5124</v>
      </c>
      <c r="AG33" s="14">
        <f>'[1]202505 daily'!H40</f>
        <v>7209</v>
      </c>
      <c r="AH33" s="14">
        <f>'[1]202506 daily'!G43</f>
        <v>3201</v>
      </c>
      <c r="AI33" s="14">
        <f>'[1]202507 daily'!G43</f>
        <v>42</v>
      </c>
      <c r="AJ33" s="14">
        <f>'[1]202508 daily'!G43</f>
        <v>22</v>
      </c>
      <c r="AK33" s="14">
        <f>'[1]202509 daily'!G43</f>
        <v>657</v>
      </c>
      <c r="AL33" s="14">
        <v>2113</v>
      </c>
      <c r="AM33" s="14">
        <f>'[1]202511 daily'!G41</f>
        <v>14817</v>
      </c>
      <c r="AN33" s="14">
        <v>12486</v>
      </c>
      <c r="AO33" s="14">
        <v>6802</v>
      </c>
      <c r="AP33" s="14">
        <v>5259</v>
      </c>
      <c r="AQ33" s="14">
        <v>6505</v>
      </c>
      <c r="AR33" s="14">
        <v>8908</v>
      </c>
    </row>
    <row r="34" spans="1:44" x14ac:dyDescent="0.3">
      <c r="A34" s="13" t="s">
        <v>74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>
        <v>3347</v>
      </c>
      <c r="O34" s="14">
        <f>'[1]202311 daily'!AF27</f>
        <v>1379</v>
      </c>
      <c r="P34" s="14">
        <f>'[1]202312 daily'!AF27</f>
        <v>228</v>
      </c>
      <c r="Q34" s="14">
        <f>'[1]202401 daily '!AF27</f>
        <v>516</v>
      </c>
      <c r="R34" s="14">
        <f>'[1]202402 daily'!G31</f>
        <v>809</v>
      </c>
      <c r="S34" s="14">
        <f>'[1]202403 daily'!E31</f>
        <v>386</v>
      </c>
      <c r="T34" s="14">
        <f>'[1]202404 daily'!E31</f>
        <v>1024</v>
      </c>
      <c r="U34" s="14">
        <f>'[1]202405 daily'!E34</f>
        <v>9258</v>
      </c>
      <c r="V34" s="14">
        <f>'[1]202406 daily'!E34</f>
        <v>1640</v>
      </c>
      <c r="W34" s="14">
        <f>'[1]202407 daily'!G34</f>
        <v>0</v>
      </c>
      <c r="X34" s="14">
        <f>'[1]202408 daily'!G34</f>
        <v>0</v>
      </c>
      <c r="Y34" s="14">
        <f>'[1]202409 daily'!G33</f>
        <v>32</v>
      </c>
      <c r="Z34" s="14">
        <f>'[1]202410 daily'!G33</f>
        <v>10907</v>
      </c>
      <c r="AA34" s="14">
        <f>'[1]202411 daily'!G33</f>
        <v>18927</v>
      </c>
      <c r="AB34" s="14">
        <f>'[1]202412 daily '!E39</f>
        <v>8248</v>
      </c>
      <c r="AC34" s="14">
        <f>'[1]202501 daily '!G42</f>
        <v>5225</v>
      </c>
      <c r="AD34" s="14">
        <f>'[1]202502 daily  '!G42</f>
        <v>7464</v>
      </c>
      <c r="AE34" s="14">
        <f>'[1]202503 daily  '!G42</f>
        <v>9703</v>
      </c>
      <c r="AF34" s="14">
        <f>'[1]202504 daily'!G42</f>
        <v>14421</v>
      </c>
      <c r="AG34" s="14">
        <f>'[1]202505 daily'!H42</f>
        <v>23900</v>
      </c>
      <c r="AH34" s="14">
        <f>'[1]202506 daily'!G45</f>
        <v>10711</v>
      </c>
      <c r="AI34" s="14">
        <f>'[1]202507 daily'!G45</f>
        <v>103</v>
      </c>
      <c r="AJ34" s="14">
        <f>'[1]202508 daily'!G45</f>
        <v>128</v>
      </c>
      <c r="AK34" s="14">
        <f>'[1]202509 daily'!G45</f>
        <v>1944</v>
      </c>
      <c r="AL34" s="14">
        <v>19899</v>
      </c>
      <c r="AM34" s="14">
        <f>'[1]202511 daily'!G43</f>
        <v>55058</v>
      </c>
      <c r="AN34" s="14">
        <v>37309</v>
      </c>
      <c r="AO34" s="14">
        <v>20640.896629999974</v>
      </c>
      <c r="AP34" s="14">
        <v>14238.191320000033</v>
      </c>
      <c r="AQ34" s="14">
        <v>19337</v>
      </c>
      <c r="AR34" s="14">
        <v>24638</v>
      </c>
    </row>
    <row r="35" spans="1:44" x14ac:dyDescent="0.3">
      <c r="A35" s="22" t="s">
        <v>75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>
        <v>0</v>
      </c>
      <c r="O35" s="23">
        <f>'[1]202311 daily'!AF28</f>
        <v>0</v>
      </c>
      <c r="P35" s="23">
        <f>'[1]202312 daily'!AF28</f>
        <v>0</v>
      </c>
      <c r="Q35" s="23">
        <f>'[1]202401 daily '!AF28</f>
        <v>0</v>
      </c>
      <c r="R35" s="23">
        <f>'[1]202402 daily'!G32</f>
        <v>0</v>
      </c>
      <c r="S35" s="23">
        <f>'[1]202403 daily'!E32</f>
        <v>0</v>
      </c>
      <c r="T35" s="23">
        <f>'[1]202404 daily'!E32</f>
        <v>0</v>
      </c>
      <c r="U35" s="23">
        <f>'[1]202405 daily'!E35</f>
        <v>415</v>
      </c>
      <c r="V35" s="23">
        <f>'[1]202406 daily'!E35</f>
        <v>173</v>
      </c>
      <c r="W35" s="23">
        <f>'[1]202407 daily'!G35</f>
        <v>225</v>
      </c>
      <c r="X35" s="23">
        <f>'[1]202408 daily'!G35</f>
        <v>776</v>
      </c>
      <c r="Y35" s="23">
        <f>'[1]202409 daily'!G35</f>
        <v>271</v>
      </c>
      <c r="Z35" s="23">
        <f>'[1]202410 daily'!G35</f>
        <v>3652</v>
      </c>
      <c r="AA35" s="23">
        <f>'[1]202411 daily'!G35</f>
        <v>2114</v>
      </c>
      <c r="AB35" s="23">
        <f>'[1]202412 daily '!E40</f>
        <v>1971</v>
      </c>
      <c r="AC35" s="23">
        <f>'[1]202501 daily '!G43</f>
        <v>1934</v>
      </c>
      <c r="AD35" s="23">
        <f>'[1]202502 daily  '!G43</f>
        <v>2646</v>
      </c>
      <c r="AE35" s="23">
        <f>'[1]202503 daily  '!G43</f>
        <v>4850</v>
      </c>
      <c r="AF35" s="23">
        <f>'[1]202504 daily'!G43</f>
        <v>5383</v>
      </c>
      <c r="AG35" s="23">
        <f>'[1]202505 daily'!H43</f>
        <v>4960</v>
      </c>
      <c r="AH35" s="23">
        <f>'[1]202506 daily'!G46</f>
        <v>11880</v>
      </c>
      <c r="AI35" s="23">
        <f>'[1]202507 daily'!G46</f>
        <v>6800</v>
      </c>
      <c r="AJ35" s="23">
        <f>'[1]202508 daily'!G46</f>
        <v>7312</v>
      </c>
      <c r="AK35" s="23">
        <f>'[1]202509 daily'!G46</f>
        <v>6723</v>
      </c>
      <c r="AL35" s="14">
        <v>7004</v>
      </c>
      <c r="AM35" s="14">
        <f>'[1]202511 daily'!G44</f>
        <v>6514</v>
      </c>
      <c r="AN35" s="14">
        <v>10558</v>
      </c>
      <c r="AO35" s="14">
        <v>12994.315999999999</v>
      </c>
      <c r="AP35" s="14">
        <v>20753.739999999998</v>
      </c>
      <c r="AQ35" s="14">
        <v>25746</v>
      </c>
      <c r="AR35" s="14">
        <v>14951</v>
      </c>
    </row>
    <row r="37" spans="1:44" x14ac:dyDescent="0.3"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pans="1:44" x14ac:dyDescent="0.3">
      <c r="J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spans="1:44" x14ac:dyDescent="0.3">
      <c r="J39" s="7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</row>
    <row r="40" spans="1:44" x14ac:dyDescent="0.3">
      <c r="J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pans="1:44" x14ac:dyDescent="0.3">
      <c r="J41" s="7"/>
    </row>
    <row r="42" spans="1:44" x14ac:dyDescent="0.3">
      <c r="J42" s="7"/>
      <c r="N42" s="21"/>
    </row>
    <row r="43" spans="1:44" x14ac:dyDescent="0.3">
      <c r="J43" s="7"/>
      <c r="N43" s="21"/>
    </row>
    <row r="44" spans="1:44" x14ac:dyDescent="0.3">
      <c r="J44" s="7"/>
      <c r="N44" s="21"/>
    </row>
    <row r="45" spans="1:44" x14ac:dyDescent="0.3">
      <c r="J45" s="7"/>
      <c r="N45" s="21"/>
    </row>
    <row r="46" spans="1:44" x14ac:dyDescent="0.3">
      <c r="J46" s="7"/>
      <c r="N46" s="21"/>
    </row>
    <row r="47" spans="1:44" x14ac:dyDescent="0.3">
      <c r="J47" s="7"/>
      <c r="N47" s="21"/>
    </row>
    <row r="48" spans="1:44" x14ac:dyDescent="0.3">
      <c r="J48" s="7"/>
      <c r="N48" s="21"/>
    </row>
    <row r="49" spans="10:14" x14ac:dyDescent="0.3">
      <c r="J49" s="7"/>
      <c r="N49" s="21"/>
    </row>
    <row r="50" spans="10:14" x14ac:dyDescent="0.3">
      <c r="J50" s="7"/>
      <c r="N50" s="21"/>
    </row>
    <row r="51" spans="10:14" x14ac:dyDescent="0.3">
      <c r="J51" s="7"/>
      <c r="N51" s="21"/>
    </row>
    <row r="52" spans="10:14" x14ac:dyDescent="0.3">
      <c r="J52" s="7"/>
      <c r="N52" s="21"/>
    </row>
    <row r="53" spans="10:14" x14ac:dyDescent="0.3">
      <c r="J53" s="7"/>
      <c r="N53" s="21"/>
    </row>
    <row r="54" spans="10:14" x14ac:dyDescent="0.3">
      <c r="J54" s="7"/>
      <c r="N54" s="21"/>
    </row>
    <row r="55" spans="10:14" x14ac:dyDescent="0.3">
      <c r="J55" s="7"/>
      <c r="N55" s="21"/>
    </row>
    <row r="56" spans="10:14" x14ac:dyDescent="0.3">
      <c r="J56" s="7"/>
      <c r="N56" s="21"/>
    </row>
    <row r="57" spans="10:14" x14ac:dyDescent="0.3">
      <c r="J57" s="7"/>
      <c r="N57" s="21"/>
    </row>
    <row r="58" spans="10:14" x14ac:dyDescent="0.3">
      <c r="J58" s="7"/>
      <c r="N58" s="21"/>
    </row>
    <row r="59" spans="10:14" x14ac:dyDescent="0.3">
      <c r="J59" s="7"/>
      <c r="N59" s="21"/>
    </row>
    <row r="60" spans="10:14" x14ac:dyDescent="0.3">
      <c r="J60" s="7"/>
      <c r="N60" s="21"/>
    </row>
    <row r="61" spans="10:14" x14ac:dyDescent="0.3">
      <c r="J61" s="7"/>
      <c r="N61" s="21"/>
    </row>
    <row r="62" spans="10:14" x14ac:dyDescent="0.3">
      <c r="J62" s="7"/>
      <c r="N62" s="21"/>
    </row>
    <row r="63" spans="10:14" x14ac:dyDescent="0.3">
      <c r="J63" s="7"/>
      <c r="N63" s="21"/>
    </row>
    <row r="64" spans="10:14" x14ac:dyDescent="0.3">
      <c r="J64" s="7"/>
      <c r="N64" s="21"/>
    </row>
    <row r="65" spans="10:14" x14ac:dyDescent="0.3">
      <c r="J65" s="7"/>
      <c r="N65" s="21"/>
    </row>
    <row r="66" spans="10:14" x14ac:dyDescent="0.3">
      <c r="J66" s="7"/>
      <c r="N66" s="21"/>
    </row>
    <row r="67" spans="10:14" x14ac:dyDescent="0.3">
      <c r="J67" s="7"/>
      <c r="N67" s="21"/>
    </row>
    <row r="68" spans="10:14" x14ac:dyDescent="0.3">
      <c r="J68" s="7"/>
      <c r="N68" s="21"/>
    </row>
    <row r="69" spans="10:14" x14ac:dyDescent="0.3">
      <c r="J69" s="7"/>
      <c r="N69" s="21"/>
    </row>
    <row r="70" spans="10:14" x14ac:dyDescent="0.3">
      <c r="J70" s="7"/>
      <c r="N70" s="21"/>
    </row>
    <row r="71" spans="10:14" x14ac:dyDescent="0.3">
      <c r="J71" s="7"/>
      <c r="N71" s="21"/>
    </row>
    <row r="72" spans="10:14" x14ac:dyDescent="0.3">
      <c r="J72" s="7"/>
      <c r="N72" s="21"/>
    </row>
    <row r="73" spans="10:14" x14ac:dyDescent="0.3">
      <c r="J73" s="7"/>
      <c r="N73" s="21"/>
    </row>
    <row r="74" spans="10:14" x14ac:dyDescent="0.3">
      <c r="J74" s="7"/>
      <c r="N74" s="21"/>
    </row>
    <row r="75" spans="10:14" x14ac:dyDescent="0.3">
      <c r="J75" s="7"/>
      <c r="N75" s="21"/>
    </row>
    <row r="76" spans="10:14" x14ac:dyDescent="0.3">
      <c r="J76" s="7"/>
      <c r="N76" s="21"/>
    </row>
    <row r="77" spans="10:14" x14ac:dyDescent="0.3">
      <c r="J77" s="7"/>
      <c r="N77" s="21"/>
    </row>
    <row r="78" spans="10:14" x14ac:dyDescent="0.3">
      <c r="J78" s="7"/>
      <c r="N78" s="21"/>
    </row>
    <row r="79" spans="10:14" x14ac:dyDescent="0.3">
      <c r="J79" s="7"/>
      <c r="N79" s="21"/>
    </row>
    <row r="80" spans="10:14" x14ac:dyDescent="0.3">
      <c r="J80" s="7"/>
      <c r="N80" s="21"/>
    </row>
    <row r="81" spans="10:14" x14ac:dyDescent="0.3">
      <c r="J81" s="7"/>
      <c r="N81" s="21"/>
    </row>
    <row r="82" spans="10:14" x14ac:dyDescent="0.3">
      <c r="J82" s="7"/>
      <c r="N82" s="21"/>
    </row>
    <row r="83" spans="10:14" x14ac:dyDescent="0.3">
      <c r="J83" s="7"/>
      <c r="N83" s="21"/>
    </row>
    <row r="84" spans="10:14" x14ac:dyDescent="0.3">
      <c r="J84" s="7"/>
      <c r="N84" s="21"/>
    </row>
    <row r="85" spans="10:14" x14ac:dyDescent="0.3">
      <c r="N85" s="21"/>
    </row>
    <row r="86" spans="10:14" x14ac:dyDescent="0.3">
      <c r="N86" s="21"/>
    </row>
    <row r="87" spans="10:14" x14ac:dyDescent="0.3">
      <c r="N87" s="21"/>
    </row>
    <row r="88" spans="10:14" x14ac:dyDescent="0.3">
      <c r="N88" s="21"/>
    </row>
  </sheetData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5EE81A65984FA51825BF2B9BB6AD" ma:contentTypeVersion="19" ma:contentTypeDescription="Create a new document." ma:contentTypeScope="" ma:versionID="0785a2e17a85fd151793ae640c5d3856">
  <xsd:schema xmlns:xsd="http://www.w3.org/2001/XMLSchema" xmlns:xs="http://www.w3.org/2001/XMLSchema" xmlns:p="http://schemas.microsoft.com/office/2006/metadata/properties" xmlns:ns2="ce41bcad-467b-4bdb-8844-8c47e0c58bf8" xmlns:ns3="e15cec91-e61e-4ecc-a1d6-810447afc351" targetNamespace="http://schemas.microsoft.com/office/2006/metadata/properties" ma:root="true" ma:fieldsID="1926fee385fc84fff2e9f740a4062251" ns2:_="" ns3:_="">
    <xsd:import namespace="ce41bcad-467b-4bdb-8844-8c47e0c58bf8"/>
    <xsd:import namespace="e15cec91-e61e-4ecc-a1d6-810447afc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41bcad-467b-4bdb-8844-8c47e0c58b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f6ce491-58ca-44cc-a222-4d5a204fb5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5cec91-e61e-4ecc-a1d6-810447afc35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9b48608-cc97-4c91-be79-f270a7f342a8}" ma:internalName="TaxCatchAll" ma:showField="CatchAllData" ma:web="e15cec91-e61e-4ecc-a1d6-810447afc3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5cec91-e61e-4ecc-a1d6-810447afc351"/>
    <lcf76f155ced4ddcb4097134ff3c332f xmlns="ce41bcad-467b-4bdb-8844-8c47e0c58b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281164-A6ED-460E-B5B2-62E685F624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41bcad-467b-4bdb-8844-8c47e0c58bf8"/>
    <ds:schemaRef ds:uri="e15cec91-e61e-4ecc-a1d6-810447afc3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EA0B4E-9975-4AEB-B058-C0A4B4FDB6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8DCA44-5ACC-43E7-AFCA-A0D2053C2798}">
  <ds:schemaRefs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e41bcad-467b-4bdb-8844-8c47e0c58bf8"/>
    <ds:schemaRef ds:uri="e15cec91-e61e-4ecc-a1d6-810447afc351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Baxi</dc:creator>
  <cp:lastModifiedBy>Atreyee Saha</cp:lastModifiedBy>
  <dcterms:created xsi:type="dcterms:W3CDTF">2026-06-01T08:45:30Z</dcterms:created>
  <dcterms:modified xsi:type="dcterms:W3CDTF">2026-06-15T12:12:31Z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0x0101005ABB5EE81A65984FA51825BF2B9BB6AD</vt:lpwstr>
  </property>
</Properties>
</file>